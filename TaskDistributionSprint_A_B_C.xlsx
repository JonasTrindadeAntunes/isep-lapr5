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isepipp-my.sharepoint.com/personal/1210951_isep_ipp_pt/Documents/"/>
    </mc:Choice>
  </mc:AlternateContent>
  <xr:revisionPtr revIDLastSave="0" documentId="8_{74F20120-E2D9-4F47-B61C-A511066A4FD4}" xr6:coauthVersionLast="47" xr6:coauthVersionMax="47" xr10:uidLastSave="{00000000-0000-0000-0000-000000000000}"/>
  <bookViews>
    <workbookView minimized="1" xWindow="8010" yWindow="690" windowWidth="21600" windowHeight="11295" firstSheet="2" activeTab="2" xr2:uid="{EF8DC3DF-07A4-476E-8868-C4D6461D9E38}"/>
  </bookViews>
  <sheets>
    <sheet name="SprintA" sheetId="1" r:id="rId1"/>
    <sheet name="SprintB" sheetId="2" r:id="rId2"/>
    <sheet name="SprintC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9" i="3" l="1"/>
  <c r="M49" i="3"/>
  <c r="N49" i="3"/>
  <c r="L49" i="3"/>
  <c r="N50" i="2"/>
  <c r="Q50" i="2"/>
  <c r="P50" i="2"/>
  <c r="O50" i="2"/>
</calcChain>
</file>

<file path=xl/sharedStrings.xml><?xml version="1.0" encoding="utf-8"?>
<sst xmlns="http://schemas.openxmlformats.org/spreadsheetml/2006/main" count="945" uniqueCount="183">
  <si>
    <t>As colunas "1" a "5" dão uma indicação de como dividir o requisito pelos elementos do grupo. no caso de requisitos com maior dependência para outros estão normalmente atribuidos a mais que um elemento para redução de risco</t>
  </si>
  <si>
    <t>Sprint</t>
  </si>
  <si>
    <t>Módulo</t>
  </si>
  <si>
    <t>ID</t>
  </si>
  <si>
    <t>U.S./Req.</t>
  </si>
  <si>
    <t>Observations</t>
  </si>
  <si>
    <t>ALGAV</t>
  </si>
  <si>
    <t>ARQSI</t>
  </si>
  <si>
    <t>ASIST</t>
  </si>
  <si>
    <t>SGRAI</t>
  </si>
  <si>
    <t>LAPR5</t>
  </si>
  <si>
    <t>Marco</t>
  </si>
  <si>
    <t>Napoles</t>
  </si>
  <si>
    <t>Rúben</t>
  </si>
  <si>
    <t>Jonas</t>
  </si>
  <si>
    <t>A</t>
  </si>
  <si>
    <t>1.2        Módulo Gestão de Campus</t>
  </si>
  <si>
    <t>Criar edifício</t>
  </si>
  <si>
    <t>POST</t>
  </si>
  <si>
    <t>X</t>
  </si>
  <si>
    <t>Editar edifício</t>
  </si>
  <si>
    <t>PUT/PATCH</t>
  </si>
  <si>
    <t>Listar todos os edifícios</t>
  </si>
  <si>
    <t>GET</t>
  </si>
  <si>
    <t>Listar edifícios com min e max de pisos</t>
  </si>
  <si>
    <t>Criar piso de edifício</t>
  </si>
  <si>
    <t>Editar informação de piso de edifício</t>
  </si>
  <si>
    <t>Listar todos os pisos de um edifício</t>
  </si>
  <si>
    <t>Listar pisos de edifício com passagem para outros edifícios</t>
  </si>
  <si>
    <t>Carregar mapa de piso</t>
  </si>
  <si>
    <t>PATCH</t>
  </si>
  <si>
    <t>Criar passagem entre edifícios</t>
  </si>
  <si>
    <t>Editar passagem entre edifícios</t>
  </si>
  <si>
    <t>Listar passagens entre 2 edifícios</t>
  </si>
  <si>
    <t>Criar elevador em edifício</t>
  </si>
  <si>
    <t>Editar elevador em edifício</t>
  </si>
  <si>
    <t>Listar elevadores em edifício</t>
  </si>
  <si>
    <t>Listar pisos de edifício servidos por elevador</t>
  </si>
  <si>
    <t>Criar sala de piso de edifício</t>
  </si>
  <si>
    <t>1.3        Módulo Gestão de Frota</t>
  </si>
  <si>
    <t>Como gestor de frota pretendo adicionar um novo tipo de robot indicando a sua designação e que tipos de tarefas pode executar da lista prédefinida de tarefas</t>
  </si>
  <si>
    <t> Como gestor de frota pretendo adicionar um novo robot à frota indicando o seu tipo, designação, etc.</t>
  </si>
  <si>
    <t>Como gestor de frota pretendo inibir um robot</t>
  </si>
  <si>
    <t> Como gestor de frota pretendo consultar todos os robots da frota</t>
  </si>
  <si>
    <t>Como gestor de frota pretendo pesquisar todos os robots da frota por designação ou tarefa que pode executar</t>
  </si>
  <si>
    <t>integração</t>
  </si>
  <si>
    <t>como arquiteto da solução pretendo um diagrama devidamente justificado e elucidativo que de que componentes existirão na solução e quais as suas interfaces de integração com indicação do tipo de informação e estrutura de informação a partilhar</t>
  </si>
  <si>
    <t>O</t>
  </si>
  <si>
    <t xml:space="preserve"> </t>
  </si>
  <si>
    <t>correspondência entre US de Sprint A e Sprint B</t>
  </si>
  <si>
    <t>Marco(1210951)</t>
  </si>
  <si>
    <t>Napoles(1211155)</t>
  </si>
  <si>
    <t>Ruben(1210954)</t>
  </si>
  <si>
    <t>Jonas(1181478)</t>
  </si>
  <si>
    <t>B</t>
  </si>
  <si>
    <t>Gestão de Campus</t>
  </si>
  <si>
    <t>Como gestor de Campus pretendo criar um Edifício indicando [...]</t>
  </si>
  <si>
    <t>Como gestor de Campus pretendo editar a informação (total ou parcial) de Edifício</t>
  </si>
  <si>
    <t>PUT|PATCH</t>
  </si>
  <si>
    <t>Como gestor de Campus pretendo listar Edifícios</t>
  </si>
  <si>
    <t>Como gestor de Campus pretendo listar Edifícios com min e max de pisos</t>
  </si>
  <si>
    <t>Como gestor de Campus pretendo criar um Piso indicando [...]</t>
  </si>
  <si>
    <t>Como gestor de Campus pretendo editar a informação (total ou parcial) de Piso</t>
  </si>
  <si>
    <t>Como gestor de Campus pretendo listar todos os Pisos de um Edifício</t>
  </si>
  <si>
    <t>Como gestor de Campus pretendo listar Pisos de Edifício com Passagem para outros Edifícios</t>
  </si>
  <si>
    <t>Como gestor de Campus pretendo carregar mapa de Piso de Edifício</t>
  </si>
  <si>
    <t>Como gestor de Campus pretendo criar uma Passagem entre 2 Edifícios</t>
  </si>
  <si>
    <t>Como gestor de Campus pretendo editar uma Passagem entre 2 Edifícios</t>
  </si>
  <si>
    <t>Como gestore de Campus pretendo listar passagens entre 2 edificios</t>
  </si>
  <si>
    <t>Administração de Sistemas </t>
  </si>
  <si>
    <t>Como administrador do sistema quero que o deployment de um dos módulos do RFP numa VM do DEI seja sistemático, validando de forma agendada com o plano de testes</t>
  </si>
  <si>
    <t>---</t>
  </si>
  <si>
    <t>Como administrador do sistema quero que apenas os clientes da rede interna do DEI (cablada ou via VPN) possam aceder à solução</t>
  </si>
  <si>
    <t>Como administrador do sistema quero que os clientes indicados na user story anterior possam ser definidos pela simples alteração de um ficheiro de texto</t>
  </si>
  <si>
    <t> Como administrador quero identificar e quantificar os riscos envolvidos na solução preconizada</t>
  </si>
  <si>
    <t>Como administrador do sistema quero que seja definido o MBCO (Minimum Business Continuity Objective) a propor aos stakeholders</t>
  </si>
  <si>
    <t>Como administrador do sistema quero que seja proposta, justificada e implementada uma estratégia de cópia de segurança que minimize o RPO (Recovery Point Objective) e o WRT (Work Recovery Time)</t>
  </si>
  <si>
    <t>Como administrador do sistema quero definir uma pasta pública para todos os utilizadores registados no sistema</t>
  </si>
  <si>
    <t>Como administrador do sistema quero obter os utilizadores com mais do que 3 acessos incorretos</t>
  </si>
  <si>
    <t>Como gestor de Campus pretendo criar um Elevador num Edifício indicando os Pisos que serve</t>
  </si>
  <si>
    <t>Como gestor de Campus pretendo editar Elevador em Edifício</t>
  </si>
  <si>
    <t>PATCH(VERIFICAR O PATCH POR CAUSA DA LIGAÇÃO COM OS FLOORS)</t>
  </si>
  <si>
    <t>Como gestor de Campus  pretendo listar Elevadores em Edifício</t>
  </si>
  <si>
    <t>Como gestor de Campus pretendo listar Pisos de Edifício servidos por Elevador</t>
  </si>
  <si>
    <t>Como gestor de Campus pretendo criar uma Sala num Piso de Edifício indicando [...]</t>
  </si>
  <si>
    <t> Gestão de Frota</t>
  </si>
  <si>
    <t>Como gestor de Frota pretendo adicionar um novo tipo de robot indicando a sua designação e que tipos de tarefas pode executar da lista prédefinida de tarefas</t>
  </si>
  <si>
    <t>Como gestor de Frota pretendo adicionar um novo robot à frota indicando o seu tipo, designação, etc.</t>
  </si>
  <si>
    <t>Como gestor de Frota pretendo inibir um robot</t>
  </si>
  <si>
    <t>Como gestor de Frota pretendo consultar todos os robots da frota</t>
  </si>
  <si>
    <t>Como gestor de Frota pretendo pesquisar todos os robots da frota por designação ou tarefa que pode executar</t>
  </si>
  <si>
    <t>Como administrador do sistema pretendo fazer upload do mapa do campus considerando edifícios e ligações interiores entre os mesmos para ser utilizado pelos robots</t>
  </si>
  <si>
    <t>Gestão de Tarefas</t>
  </si>
  <si>
    <t>Como gestor de Tarefas pretendo obter os caminhos entre dois edificos considerando um critério de otimização</t>
  </si>
  <si>
    <t>Listagem do resultado do módulo de planeamento. Não contempla persistência desse resultado</t>
  </si>
  <si>
    <t>Gestão de Utilizadores   </t>
  </si>
  <si>
    <t> Como cliente do projeto pretendo um relatório que, descrevendo a solução encontrada e considerando as normas do RGPD, identifique concretamente os dados pessoais utilizados, o tratamento a que serão sujeitos, bem como a finalidade e fundamento daquele tratamento e, ainda, o responsável pelo tratamento.    </t>
  </si>
  <si>
    <t>Infraestrutura</t>
  </si>
  <si>
    <t>Pipeline de build contínuo para um módulo de serviços</t>
  </si>
  <si>
    <t>Deployment automático de um dos módulos via pipeline num ambiente cloud</t>
  </si>
  <si>
    <t>Deployment de BD num ambiente cloud ou na Cloud do DEI</t>
  </si>
  <si>
    <t>Como utilizador pretendo um menu que me permita aceder às funcionalidades de cada módulo</t>
  </si>
  <si>
    <t>como arquiteto da solução pretendo que a informação sobre robots seja partilhada entre os módulos de Administração de dados, Pleaneamento e visualização</t>
  </si>
  <si>
    <t>NFR</t>
  </si>
  <si>
    <t>?</t>
  </si>
  <si>
    <t>como arquiteto da solução pretendo que a informação sobre edificios, pisos, passagens, elevadores e mapas seja partilhada entre os módulos de Administração de dados, Pleaneamento e visualização</t>
  </si>
  <si>
    <t>como arquiteto da solução pretendo que a informação sobre percursos entre edificios seja partilhada entre os módulos de Planeamento, SPA e Visualização</t>
  </si>
  <si>
    <t>Planeamento de Tarefas</t>
  </si>
  <si>
    <t>Como gestor de tarefas pretendo encontrar caminhos entre edifícios que tentem otimizar um dado critério, por exemplo, minimizar o número de utilizações do elevador, ou passar pelo menor número de edifícios. Os caminhos dentro de cada corredor dos edifícios deverão tentar minimizar a distância percorrida e ser gerados a partir de um grafo entre “células” retangulares posicionadas no corredor, devendo sempre haver uma célula junto a cada acesso a gabinete ou sala  </t>
  </si>
  <si>
    <t>Análise da complexidade da pesquisa em grafos obtidos a partir das ligações entre células retangulares de posicionamento dos robots</t>
  </si>
  <si>
    <t>Visualização 3D</t>
  </si>
  <si>
    <t>O formato base do mapa que descreve a planta de um piso de um edifício do campus (um ficheiro/piso/edifício) deve ser complementado com informação do módulo de gestão de campus: dimensão do piso, disposição das paredes, localização das portas das salas/gabinetes, dos acessos e dos elevadores, etc.</t>
  </si>
  <si>
    <t>Deverão basear-se no ficheiro JSON do projecto “Thumb Raiser” de SGRAI</t>
  </si>
  <si>
    <t>B / C</t>
  </si>
  <si>
    <t>Permitir a navegação interactiva (com o recurso ao teclado) do robot pelos diversos pisos dos diversos edifícios do campus.</t>
  </si>
  <si>
    <t>Deverão inspirar-se no projecto “Thumb Raiser” de SGRAI (o robot deverá poder andar e correr)</t>
  </si>
  <si>
    <t>O formato base do mapa que descreve a planta de um piso de um edifício do campus (um ficheiro/piso/edifício) deve definir, além da grelha matricial, a identificação dos ficheiros contendo as texturas adequadas às paredes dos diversos pisos, bem como os modelos 3D representativos das portas e dos elevadores.</t>
  </si>
  <si>
    <t>Permitir a visualização em 3D do interior dos pisos dos edifícios do campus (um piso de cada vez): chão, paredes, portas e elevadores.</t>
  </si>
  <si>
    <t>Deverão basear-se no projecto “Thumb Raiser” de SGRAI (múltiplas vistas, orbit, zoom in/out, dolly in/out, iluminação, etc.)</t>
  </si>
  <si>
    <t>Criar uma interface com o utilizador (GUI) que permita seleccionar o edifício e o piso que se pretende ver em cada momento.</t>
  </si>
  <si>
    <t>Importar o modelo 3D de um robot e permitir a sua visualização numa dada localização do piso seleccionado.</t>
  </si>
  <si>
    <t>Deverão inspirar-se no projecto “Thumb Raiser” de SGRAI</t>
  </si>
  <si>
    <t>PROGRESS</t>
  </si>
  <si>
    <t>TESTING</t>
  </si>
  <si>
    <t>DONE</t>
  </si>
  <si>
    <t>Data entrega</t>
  </si>
  <si>
    <t>---------</t>
  </si>
  <si>
    <t>Sprint C</t>
  </si>
  <si>
    <t>C</t>
  </si>
  <si>
    <t>Como administrador da organização quero um plano de recuperação de desastre que satisfaça o MBCO definido no sprint B</t>
  </si>
  <si>
    <t>adicionar frase do marco</t>
  </si>
  <si>
    <t>Como administrador da organização quero que me seja apresentada de forma justificada a ou as alterações a realizar na infraestrutura por forma a assegurar um MTD (Maximum Tolerable Downtime) de 20 minutos</t>
  </si>
  <si>
    <t>Como administrador de sistemas quero que seja realizada uma cópia de segurança da(s) DB(s) para um ambiente de Cloud através de um script que a renomeie para o formato &lt;nome_da_db&gt;_yyyymmdd sendo &lt;nome_da_db&gt; o nome da base de dados, yyyy o ano de realização da cópia, mm o mês de realização da cópia e dd o dia da realização da cópia</t>
  </si>
  <si>
    <t>Como administrador de sistemas quero que utilizando o Backup elaborado na US 840, seja criado um script quer faça a gestão dos ficheiros resultantes desse backup, no seguinte calendário. 1 Backup por mês no último ano, 1 backup por semana no último mês, 1 backup por dia na última semana</t>
  </si>
  <si>
    <t>Como administrador de sistemas quero que o processo da US da cópia de segurança da DB seja mantido no log do Linux, num contexto adequado, e alertado o administrador no acesso à consola se ocorrer uma falha grave neste processo </t>
  </si>
  <si>
    <t>Como administrador de sistemas quero que a cópia de segurança da US da cópia de segurança da DB tenha um tempo de vida não superior a 7 (sete) dias exceto no indicado na US de retenção das cópias mensais e anuais</t>
  </si>
  <si>
    <t>Como administrador da organização quero que me seja apresentado um BIA (Business Impact Analysis) da solução final, adaptando se e onde aplicável o(s) risco(s) identificados no sprint anterior</t>
  </si>
  <si>
    <t>Como administrador da organização quero que seja implementada uma gestão de acessos que satisfaça os critérios apropriados de segurança</t>
  </si>
  <si>
    <t>Como administrador da organização quero que seja implementado de forma justificada um sistema de clustering entre os sistemas que implementam o SPA</t>
  </si>
  <si>
    <t>Como administrador de sistemas quero que o administrador tenha um acesso SSH à maquina virtual, apenas por certificado, sem recurso a password</t>
  </si>
  <si>
    <t>Como administrador de sistemas quero que para agilização entre as várias equipas seja criada uma partilha pública de ficheiros, formato SMB/CIFS  ou NFS .</t>
  </si>
  <si>
    <t>Como administrador de sistemas temos de garantir que em caso de necessidade os backups foram efetuados corretamente. Para isso devemos automatizar a sua reposição, validando no final o funcionamento do sistema (Ex. Base de Dados - executar uma query SQL com sucesso após reposição)</t>
  </si>
  <si>
    <t>Como utente do sistema pretendo requisitar uma tarefa indicando os parâmetros necessários à sua execução, nomeadamente o ponto inicial e o término e qual a tarefa pretendida</t>
  </si>
  <si>
    <t>Como gestor de tarefas pretendo aprovar ou recusar uma requisição</t>
  </si>
  <si>
    <t>SPA e2e tests +mdt</t>
  </si>
  <si>
    <t>Como gestor de tarefas pretendo consultar as requisições de tarefas ainda não aprovadas</t>
  </si>
  <si>
    <t>Como gestor de tarefas pretendo pesquisar as requisições de tarefas por estado, por tipo de dispositivo, ou utente</t>
  </si>
  <si>
    <t>Como gestor de tarefas pretendo obter a sequencia de execução das tarefas aprovadas</t>
  </si>
  <si>
    <t>Como administrador pretendo criar um utilizador de sistema indicando as suas permissões</t>
  </si>
  <si>
    <t>sem spa 18/12/2023
com spa 25/12/2023</t>
  </si>
  <si>
    <t>Como potencial utente do sistema (ex., aluno, docente) pretendo registar-me como utente do sistema e: </t>
  </si>
  <si>
    <t>a.       Dar o meu consentimento ou não à recolha e tratamento dos meus dados pessoais;</t>
  </si>
  <si>
    <t>REVER</t>
  </si>
  <si>
    <t>b.       Que me seja informada a finalidade para a qual os dados pessoais são recolhidos e tratados;</t>
  </si>
  <si>
    <t>c.       Conhecer e ter acesso ao responsável pelo tratamento;</t>
  </si>
  <si>
    <t>d.       Saber o período pelo qual os dados serão conservados;</t>
  </si>
  <si>
    <t>e.       Conhecer os meus direitos enquanto titular de dados pessoais.</t>
  </si>
  <si>
    <t>Como administrador do sistema pretendo aprovar ou recusar o registo de um utente</t>
  </si>
  <si>
    <t>Como utente do sistema pretendo retificar/alterar os meus dados;</t>
  </si>
  <si>
    <t> Como utente do sistema pretendo uma cópia dos meus dados pessoais.</t>
  </si>
  <si>
    <t>SPA tests</t>
  </si>
  <si>
    <t> Como utente do sistema pretendo cancelar a minha conta garantindo que os meus dados são apagados</t>
  </si>
  <si>
    <t>Como utilizador pretendo que o menu da aplicação se ajuste consoante o meu tipo de utilizador</t>
  </si>
  <si>
    <t>rever authguard comentado</t>
  </si>
  <si>
    <t>Como arquiteto da solução pretendo que todos os serviços de backend sejam autenticados</t>
  </si>
  <si>
    <t>Como arquiteto da solução pretendo que todos os serviços de backend validem as permissões do utilizador para executar determinada operação</t>
  </si>
  <si>
    <t>como arquiteto da solução pretendo que a informação sobre tarefas seja partilhada entre os módulos de Admnistração de dados e Pleaneamento</t>
  </si>
  <si>
    <t>como arquiteto da solução pretendo que a informação sobre percursos de um robot para a execução de tarefas seja partilhada entre os módulos de Planeamento e visualização</t>
  </si>
  <si>
    <t>Como arquiteto da solução pretendo a utilização de um módulo de IAM  (ex., Azure, auth0, Google, Linkedin) para gestão de identidades e permissões (role-based)</t>
  </si>
  <si>
    <t>baixa prioridade</t>
  </si>
  <si>
    <t>seja gerado um plano de atendimento das tarefas indicadas, que indique uma sequência de execução das tarefas, que seja criada através da geração de todas as sequências e escolha a que durar menos tempo. </t>
  </si>
  <si>
    <t xml:space="preserve">19/12/2023 reunir
22/12/2023 acabar 
</t>
  </si>
  <si>
    <t>Calcular o caminho TOTAL mais curto, ou seja ter em consideração que nem sempre o caminho mais curto para 1 tarefa corresponde a um caminho mais curto no total, a ordem das tarefas importa???</t>
  </si>
  <si>
    <t>deverá ser feito o estudo da complexidade da solução ao requisito 1410, permitindo concluir até que dimensão de nº de tarefas se pode usar essa abordagem. </t>
  </si>
  <si>
    <t>seja gerado um plano de atendimento das tarefas indicadas que indique uma sequência de execução das tarefas que seja criada através de um Algoritmo Genético </t>
  </si>
  <si>
    <t>efetuar um estudo do estado da arte na geração de trajetórias de robots. Poderão combinar pesquisa bibliográfica própria com ferramentas de IA Generativa (por exemplo ChatGPT), indicando os prompts utilizados e deixando bem claro o que foi produzido via ferramentas de IA Generativa. </t>
  </si>
  <si>
    <t>Ao navegar interactivamente e ao chegar a uma passagem entre edifícios, deve transitar automaticamente para o piso adjacente.</t>
  </si>
  <si>
    <t>Ao navegar interactivamente e ao entrar num elevador, deve ser possível escolher o piso a que se pretende aceder e transitar para esse piso.</t>
  </si>
  <si>
    <t>Animar o movimento automático do robot de um dado ponto de partida a um dado ponto de chegada, de acordo com a informação disponibilizada pelo módulo de planeamento de percurso.</t>
  </si>
  <si>
    <t>Tween para animar movimento de celula para celula</t>
  </si>
  <si>
    <t>Ao navegar de forma automática com base no planeamento de percurso, a passagem entre edifícios deve ter feedback visual adequado.</t>
  </si>
  <si>
    <t>Ao navegar de forma automática com base no planeamento de percurso, a utilização de elevadores deve ter feedback visual adequado.</t>
  </si>
  <si>
    <t>Exibir uma tip flutuante que identifique a sala, gabinete ou elevador a que pertence a célula apontada em cada momento pelo cursor do rato.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</si>
</sst>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11" borderId="0" applyNumberFormat="0" applyBorder="0" applyAlignment="0" applyProtection="0"/>
  </cellStyleXfs>
  <cellXfs count="107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8" borderId="1" xfId="0" applyFont="1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/>
    <xf numFmtId="0" fontId="0" fillId="0" borderId="1" xfId="0" applyBorder="1" applyAlignment="1">
      <alignment horizontal="right" vertical="center" wrapText="1"/>
    </xf>
    <xf numFmtId="0" fontId="2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5" fillId="12" borderId="1" xfId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12" borderId="1" xfId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1" fillId="14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15" borderId="1" xfId="0" applyFill="1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0" fillId="3" borderId="6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15" borderId="6" xfId="0" applyFill="1" applyBorder="1" applyAlignment="1">
      <alignment vertical="center" wrapText="1"/>
    </xf>
    <xf numFmtId="16" fontId="0" fillId="17" borderId="1" xfId="0" applyNumberFormat="1" applyFill="1" applyBorder="1" applyAlignment="1">
      <alignment horizontal="center" vertical="center" wrapText="1"/>
    </xf>
    <xf numFmtId="14" fontId="0" fillId="17" borderId="5" xfId="0" applyNumberFormat="1" applyFill="1" applyBorder="1" applyAlignment="1">
      <alignment horizontal="center"/>
    </xf>
    <xf numFmtId="14" fontId="0" fillId="17" borderId="1" xfId="0" applyNumberFormat="1" applyFill="1" applyBorder="1" applyAlignment="1">
      <alignment horizontal="center" vertical="center" wrapText="1"/>
    </xf>
    <xf numFmtId="14" fontId="0" fillId="17" borderId="2" xfId="0" applyNumberForma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4" fontId="3" fillId="17" borderId="1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horizontal="right" vertical="center" wrapText="1"/>
    </xf>
    <xf numFmtId="0" fontId="0" fillId="5" borderId="8" xfId="0" applyFill="1" applyBorder="1" applyAlignment="1">
      <alignment vertical="center" wrapText="1"/>
    </xf>
    <xf numFmtId="16" fontId="0" fillId="17" borderId="8" xfId="0" applyNumberFormat="1" applyFill="1" applyBorder="1" applyAlignment="1">
      <alignment horizontal="center" vertical="center" wrapText="1"/>
    </xf>
    <xf numFmtId="16" fontId="3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0" fillId="3" borderId="9" xfId="0" applyFill="1" applyBorder="1"/>
    <xf numFmtId="0" fontId="0" fillId="16" borderId="10" xfId="0" applyFill="1" applyBorder="1"/>
    <xf numFmtId="0" fontId="0" fillId="17" borderId="11" xfId="0" applyFill="1" applyBorder="1"/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vertical="center" wrapText="1"/>
    </xf>
    <xf numFmtId="16" fontId="3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vertical="center" wrapText="1"/>
    </xf>
    <xf numFmtId="0" fontId="0" fillId="18" borderId="5" xfId="0" applyFill="1" applyBorder="1" applyAlignment="1">
      <alignment horizontal="center" vertical="center" wrapText="1"/>
    </xf>
    <xf numFmtId="0" fontId="0" fillId="18" borderId="4" xfId="0" applyFill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0" fillId="0" borderId="12" xfId="0" applyBorder="1" applyAlignment="1">
      <alignment horizontal="right" vertical="center" wrapText="1"/>
    </xf>
    <xf numFmtId="0" fontId="0" fillId="2" borderId="12" xfId="0" applyFill="1" applyBorder="1" applyAlignment="1">
      <alignment vertical="center" wrapText="1"/>
    </xf>
    <xf numFmtId="0" fontId="0" fillId="3" borderId="12" xfId="0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0" fillId="15" borderId="12" xfId="0" applyFill="1" applyBorder="1" applyAlignment="1">
      <alignment vertical="center" wrapText="1"/>
    </xf>
    <xf numFmtId="0" fontId="0" fillId="19" borderId="12" xfId="0" applyFill="1" applyBorder="1" applyAlignment="1">
      <alignment vertical="center" wrapText="1"/>
    </xf>
    <xf numFmtId="0" fontId="0" fillId="18" borderId="12" xfId="0" applyFill="1" applyBorder="1" applyAlignment="1">
      <alignment vertical="center" wrapText="1"/>
    </xf>
    <xf numFmtId="0" fontId="0" fillId="20" borderId="12" xfId="0" applyFill="1" applyBorder="1" applyAlignment="1">
      <alignment vertical="center" wrapText="1"/>
    </xf>
    <xf numFmtId="0" fontId="2" fillId="9" borderId="12" xfId="0" applyFont="1" applyFill="1" applyBorder="1" applyAlignment="1">
      <alignment vertical="center" wrapText="1"/>
    </xf>
    <xf numFmtId="0" fontId="0" fillId="9" borderId="12" xfId="0" applyFill="1" applyBorder="1" applyAlignment="1">
      <alignment vertical="center" wrapText="1"/>
    </xf>
    <xf numFmtId="0" fontId="2" fillId="14" borderId="12" xfId="0" applyFont="1" applyFill="1" applyBorder="1" applyAlignment="1">
      <alignment vertical="center" wrapText="1"/>
    </xf>
    <xf numFmtId="0" fontId="0" fillId="14" borderId="12" xfId="0" applyFill="1" applyBorder="1" applyAlignment="1">
      <alignment vertical="center" wrapText="1"/>
    </xf>
    <xf numFmtId="0" fontId="2" fillId="3" borderId="12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0" fillId="0" borderId="12" xfId="0" quotePrefix="1" applyBorder="1" applyAlignment="1">
      <alignment vertical="center" wrapText="1"/>
    </xf>
    <xf numFmtId="16" fontId="0" fillId="17" borderId="12" xfId="0" applyNumberForma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 applyAlignment="1">
      <alignment vertical="center" wrapText="1"/>
    </xf>
    <xf numFmtId="0" fontId="0" fillId="17" borderId="12" xfId="0" applyFill="1" applyBorder="1" applyAlignment="1">
      <alignment vertical="center" wrapText="1"/>
    </xf>
    <xf numFmtId="14" fontId="0" fillId="17" borderId="12" xfId="0" applyNumberFormat="1" applyFill="1" applyBorder="1" applyAlignment="1">
      <alignment vertical="center" wrapText="1"/>
    </xf>
    <xf numFmtId="16" fontId="0" fillId="17" borderId="0" xfId="0" applyNumberFormat="1" applyFill="1" applyAlignment="1">
      <alignment vertical="center"/>
    </xf>
    <xf numFmtId="0" fontId="2" fillId="9" borderId="12" xfId="0" applyFont="1" applyFill="1" applyBorder="1" applyAlignment="1">
      <alignment horizontal="center" vertical="center" wrapText="1"/>
    </xf>
    <xf numFmtId="0" fontId="0" fillId="17" borderId="2" xfId="0" applyFill="1" applyBorder="1" applyAlignment="1">
      <alignment horizontal="center" vertical="center" wrapText="1"/>
    </xf>
    <xf numFmtId="0" fontId="0" fillId="17" borderId="3" xfId="0" applyFill="1" applyBorder="1" applyAlignment="1">
      <alignment horizontal="center" vertical="center" wrapText="1"/>
    </xf>
    <xf numFmtId="0" fontId="0" fillId="17" borderId="7" xfId="0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F8AF-D314-4D85-84BA-33046AAB48CF}">
  <dimension ref="B1:T25"/>
  <sheetViews>
    <sheetView zoomScale="115" zoomScaleNormal="115" workbookViewId="0">
      <selection activeCell="E14" sqref="E14"/>
    </sheetView>
  </sheetViews>
  <sheetFormatPr defaultColWidth="8.7109375" defaultRowHeight="15"/>
  <cols>
    <col min="3" max="3" width="31.7109375" bestFit="1" customWidth="1"/>
    <col min="5" max="5" width="44.7109375" style="3" customWidth="1"/>
    <col min="6" max="6" width="15.7109375" customWidth="1"/>
    <col min="16" max="16" width="2.140625" hidden="1" customWidth="1"/>
  </cols>
  <sheetData>
    <row r="1" spans="2:16">
      <c r="B1" t="s">
        <v>0</v>
      </c>
    </row>
    <row r="2" spans="2:16">
      <c r="B2" s="4" t="s">
        <v>1</v>
      </c>
      <c r="C2" s="4" t="s">
        <v>2</v>
      </c>
      <c r="D2" s="4" t="s">
        <v>3</v>
      </c>
      <c r="E2" s="2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14" t="s">
        <v>11</v>
      </c>
      <c r="M2" s="16" t="s">
        <v>12</v>
      </c>
      <c r="N2" s="18" t="s">
        <v>13</v>
      </c>
      <c r="O2" s="20" t="s">
        <v>14</v>
      </c>
      <c r="P2" s="4">
        <v>5</v>
      </c>
    </row>
    <row r="3" spans="2:16">
      <c r="B3" s="5" t="s">
        <v>15</v>
      </c>
      <c r="C3" s="5" t="s">
        <v>16</v>
      </c>
      <c r="D3" s="6">
        <v>150</v>
      </c>
      <c r="E3" s="7" t="s">
        <v>17</v>
      </c>
      <c r="F3" s="5" t="s">
        <v>18</v>
      </c>
      <c r="G3" s="5"/>
      <c r="H3" s="38" t="s">
        <v>19</v>
      </c>
      <c r="I3" s="5"/>
      <c r="J3" s="5"/>
      <c r="K3" s="5"/>
      <c r="L3" s="15"/>
      <c r="M3" s="17"/>
      <c r="N3" s="19" t="s">
        <v>19</v>
      </c>
      <c r="O3" s="21" t="s">
        <v>19</v>
      </c>
      <c r="P3" s="5" t="s">
        <v>19</v>
      </c>
    </row>
    <row r="4" spans="2:16">
      <c r="B4" s="5" t="s">
        <v>15</v>
      </c>
      <c r="C4" s="5" t="s">
        <v>16</v>
      </c>
      <c r="D4" s="6">
        <v>160</v>
      </c>
      <c r="E4" s="7" t="s">
        <v>20</v>
      </c>
      <c r="F4" s="5" t="s">
        <v>21</v>
      </c>
      <c r="G4" s="5"/>
      <c r="H4" s="38" t="s">
        <v>19</v>
      </c>
      <c r="I4" s="5"/>
      <c r="J4" s="5"/>
      <c r="K4" s="5"/>
      <c r="L4" s="15" t="s">
        <v>19</v>
      </c>
      <c r="M4" s="17"/>
      <c r="N4" s="19"/>
      <c r="O4" s="21"/>
      <c r="P4" s="5"/>
    </row>
    <row r="5" spans="2:16">
      <c r="B5" s="5" t="s">
        <v>15</v>
      </c>
      <c r="C5" s="5" t="s">
        <v>16</v>
      </c>
      <c r="D5" s="6">
        <v>170</v>
      </c>
      <c r="E5" s="7" t="s">
        <v>22</v>
      </c>
      <c r="F5" s="5" t="s">
        <v>23</v>
      </c>
      <c r="G5" s="5"/>
      <c r="H5" s="34" t="s">
        <v>19</v>
      </c>
      <c r="I5" s="5"/>
      <c r="J5" s="5"/>
      <c r="K5" s="5"/>
      <c r="L5" s="15" t="s">
        <v>19</v>
      </c>
      <c r="M5" s="17"/>
      <c r="N5" s="19"/>
      <c r="O5" s="21"/>
      <c r="P5" s="5"/>
    </row>
    <row r="6" spans="2:16">
      <c r="B6" s="5" t="s">
        <v>15</v>
      </c>
      <c r="C6" s="5" t="s">
        <v>16</v>
      </c>
      <c r="D6" s="6">
        <v>180</v>
      </c>
      <c r="E6" s="7" t="s">
        <v>24</v>
      </c>
      <c r="F6" s="5" t="s">
        <v>23</v>
      </c>
      <c r="G6" s="5"/>
      <c r="H6" s="37" t="s">
        <v>19</v>
      </c>
      <c r="I6" s="5"/>
      <c r="J6" s="5"/>
      <c r="K6" s="5"/>
      <c r="L6" s="15"/>
      <c r="M6" s="17" t="s">
        <v>19</v>
      </c>
      <c r="N6" s="19"/>
      <c r="O6" s="21"/>
      <c r="P6" s="5"/>
    </row>
    <row r="7" spans="2:16">
      <c r="B7" s="5" t="s">
        <v>15</v>
      </c>
      <c r="C7" s="5" t="s">
        <v>16</v>
      </c>
      <c r="D7" s="6">
        <v>190</v>
      </c>
      <c r="E7" s="8" t="s">
        <v>25</v>
      </c>
      <c r="F7" s="5" t="s">
        <v>18</v>
      </c>
      <c r="G7" s="5"/>
      <c r="H7" s="37" t="s">
        <v>19</v>
      </c>
      <c r="I7" s="5"/>
      <c r="J7" s="5"/>
      <c r="K7" s="5"/>
      <c r="L7" s="15" t="s">
        <v>19</v>
      </c>
      <c r="M7" s="17" t="s">
        <v>19</v>
      </c>
      <c r="N7" s="19"/>
      <c r="O7" s="21"/>
      <c r="P7" s="5" t="s">
        <v>19</v>
      </c>
    </row>
    <row r="8" spans="2:16">
      <c r="B8" s="5" t="s">
        <v>15</v>
      </c>
      <c r="C8" s="5" t="s">
        <v>16</v>
      </c>
      <c r="D8" s="6">
        <v>200</v>
      </c>
      <c r="E8" s="8" t="s">
        <v>26</v>
      </c>
      <c r="F8" s="5" t="s">
        <v>21</v>
      </c>
      <c r="G8" s="5"/>
      <c r="H8" s="37" t="s">
        <v>19</v>
      </c>
      <c r="I8" s="5"/>
      <c r="J8" s="5"/>
      <c r="K8" s="5"/>
      <c r="L8" s="15"/>
      <c r="M8" s="17" t="s">
        <v>19</v>
      </c>
      <c r="N8" s="19"/>
      <c r="O8" s="21"/>
      <c r="P8" s="5"/>
    </row>
    <row r="9" spans="2:16">
      <c r="B9" s="5" t="s">
        <v>15</v>
      </c>
      <c r="C9" s="5" t="s">
        <v>16</v>
      </c>
      <c r="D9" s="6">
        <v>210</v>
      </c>
      <c r="E9" s="8" t="s">
        <v>27</v>
      </c>
      <c r="F9" s="5" t="s">
        <v>23</v>
      </c>
      <c r="G9" s="5"/>
      <c r="H9" s="38" t="s">
        <v>19</v>
      </c>
      <c r="I9" s="5"/>
      <c r="J9" s="5"/>
      <c r="K9" s="5"/>
      <c r="L9" s="15"/>
      <c r="M9" s="17" t="s">
        <v>19</v>
      </c>
      <c r="N9" s="19"/>
      <c r="O9" s="21"/>
      <c r="P9" s="5"/>
    </row>
    <row r="10" spans="2:16" ht="30">
      <c r="B10" s="5" t="s">
        <v>15</v>
      </c>
      <c r="C10" s="5" t="s">
        <v>16</v>
      </c>
      <c r="D10" s="6">
        <v>220</v>
      </c>
      <c r="E10" s="8" t="s">
        <v>28</v>
      </c>
      <c r="F10" s="5" t="s">
        <v>23</v>
      </c>
      <c r="G10" s="5"/>
      <c r="H10" s="38" t="s">
        <v>19</v>
      </c>
      <c r="I10" s="5"/>
      <c r="J10" s="5"/>
      <c r="K10" s="5"/>
      <c r="L10" s="15"/>
      <c r="M10" s="17"/>
      <c r="N10" s="19" t="s">
        <v>19</v>
      </c>
      <c r="O10" s="21"/>
      <c r="P10" s="5"/>
    </row>
    <row r="11" spans="2:16">
      <c r="B11" s="5" t="s">
        <v>15</v>
      </c>
      <c r="C11" s="5" t="s">
        <v>16</v>
      </c>
      <c r="D11" s="6">
        <v>230</v>
      </c>
      <c r="E11" s="8" t="s">
        <v>29</v>
      </c>
      <c r="F11" s="5" t="s">
        <v>30</v>
      </c>
      <c r="G11" s="5"/>
      <c r="H11" s="38" t="s">
        <v>19</v>
      </c>
      <c r="I11" s="5"/>
      <c r="J11" s="5"/>
      <c r="K11" s="5"/>
      <c r="L11" s="15" t="s">
        <v>19</v>
      </c>
      <c r="M11" s="17"/>
      <c r="N11" s="19"/>
      <c r="O11" s="21"/>
      <c r="P11" s="5"/>
    </row>
    <row r="12" spans="2:16">
      <c r="B12" s="5" t="s">
        <v>15</v>
      </c>
      <c r="C12" s="5" t="s">
        <v>16</v>
      </c>
      <c r="D12" s="6">
        <v>240</v>
      </c>
      <c r="E12" s="10" t="s">
        <v>31</v>
      </c>
      <c r="F12" s="5" t="s">
        <v>18</v>
      </c>
      <c r="G12" s="5"/>
      <c r="H12" s="38" t="s">
        <v>19</v>
      </c>
      <c r="I12" s="5"/>
      <c r="J12" s="5"/>
      <c r="K12" s="5"/>
      <c r="L12" s="15" t="s">
        <v>19</v>
      </c>
      <c r="M12" s="17" t="s">
        <v>19</v>
      </c>
      <c r="N12" s="19" t="s">
        <v>19</v>
      </c>
      <c r="O12" s="21"/>
      <c r="P12" s="5"/>
    </row>
    <row r="13" spans="2:16">
      <c r="B13" s="5" t="s">
        <v>15</v>
      </c>
      <c r="C13" s="5" t="s">
        <v>16</v>
      </c>
      <c r="D13" s="6">
        <v>250</v>
      </c>
      <c r="E13" s="10" t="s">
        <v>32</v>
      </c>
      <c r="F13" s="5" t="s">
        <v>21</v>
      </c>
      <c r="G13" s="5"/>
      <c r="H13" s="38" t="s">
        <v>19</v>
      </c>
      <c r="I13" s="5"/>
      <c r="J13" s="5"/>
      <c r="K13" s="28"/>
      <c r="L13" s="15"/>
      <c r="M13" s="17"/>
      <c r="N13" s="19" t="s">
        <v>19</v>
      </c>
      <c r="O13" s="21"/>
      <c r="P13" s="5"/>
    </row>
    <row r="14" spans="2:16">
      <c r="B14" s="5" t="s">
        <v>15</v>
      </c>
      <c r="C14" s="5" t="s">
        <v>16</v>
      </c>
      <c r="D14" s="6">
        <v>260</v>
      </c>
      <c r="E14" s="10" t="s">
        <v>33</v>
      </c>
      <c r="F14" s="5" t="s">
        <v>23</v>
      </c>
      <c r="G14" s="5"/>
      <c r="H14" s="38" t="s">
        <v>19</v>
      </c>
      <c r="I14" s="5"/>
      <c r="J14" s="5"/>
      <c r="K14" s="5"/>
      <c r="L14" s="15"/>
      <c r="M14" s="17"/>
      <c r="N14" s="19" t="s">
        <v>19</v>
      </c>
      <c r="O14" s="21" t="s">
        <v>19</v>
      </c>
      <c r="P14" s="5"/>
    </row>
    <row r="15" spans="2:16">
      <c r="B15" s="5" t="s">
        <v>15</v>
      </c>
      <c r="C15" s="5" t="s">
        <v>16</v>
      </c>
      <c r="D15" s="6">
        <v>270</v>
      </c>
      <c r="E15" s="9" t="s">
        <v>34</v>
      </c>
      <c r="F15" s="5" t="s">
        <v>18</v>
      </c>
      <c r="G15" s="5"/>
      <c r="H15" s="38" t="s">
        <v>19</v>
      </c>
      <c r="I15" s="5"/>
      <c r="J15" s="5"/>
      <c r="K15" s="5"/>
      <c r="L15" s="15"/>
      <c r="M15" s="17" t="s">
        <v>19</v>
      </c>
      <c r="N15" s="19" t="s">
        <v>19</v>
      </c>
      <c r="O15" s="21" t="s">
        <v>19</v>
      </c>
      <c r="P15" s="5"/>
    </row>
    <row r="16" spans="2:16">
      <c r="B16" s="5" t="s">
        <v>15</v>
      </c>
      <c r="C16" s="5" t="s">
        <v>16</v>
      </c>
      <c r="D16" s="6">
        <v>280</v>
      </c>
      <c r="E16" s="9" t="s">
        <v>35</v>
      </c>
      <c r="F16" s="5" t="s">
        <v>21</v>
      </c>
      <c r="G16" s="5"/>
      <c r="H16" s="38" t="s">
        <v>19</v>
      </c>
      <c r="I16" s="5"/>
      <c r="J16" s="5"/>
      <c r="K16" s="5"/>
      <c r="L16" s="15"/>
      <c r="M16" s="17"/>
      <c r="N16" s="19"/>
      <c r="O16" s="21" t="s">
        <v>19</v>
      </c>
      <c r="P16" s="5"/>
    </row>
    <row r="17" spans="2:20">
      <c r="B17" s="5" t="s">
        <v>15</v>
      </c>
      <c r="C17" s="5" t="s">
        <v>16</v>
      </c>
      <c r="D17" s="6">
        <v>290</v>
      </c>
      <c r="E17" s="9" t="s">
        <v>36</v>
      </c>
      <c r="F17" s="5" t="s">
        <v>23</v>
      </c>
      <c r="G17" s="5"/>
      <c r="H17" s="38" t="s">
        <v>19</v>
      </c>
      <c r="I17" s="5"/>
      <c r="J17" s="5"/>
      <c r="K17" s="5"/>
      <c r="L17" s="15"/>
      <c r="M17" s="17"/>
      <c r="N17" s="19"/>
      <c r="O17" s="21" t="s">
        <v>19</v>
      </c>
      <c r="P17" s="5"/>
    </row>
    <row r="18" spans="2:20" hidden="1">
      <c r="B18" s="22" t="s">
        <v>15</v>
      </c>
      <c r="C18" s="22" t="s">
        <v>16</v>
      </c>
      <c r="D18" s="23">
        <v>300</v>
      </c>
      <c r="E18" s="12" t="s">
        <v>37</v>
      </c>
      <c r="F18" s="22" t="s">
        <v>23</v>
      </c>
      <c r="G18" s="22"/>
      <c r="H18" s="35" t="s">
        <v>19</v>
      </c>
      <c r="I18" s="22"/>
      <c r="J18" s="22"/>
      <c r="K18" s="22"/>
      <c r="L18" s="24"/>
      <c r="M18" s="25"/>
      <c r="N18" s="26"/>
      <c r="O18" s="27"/>
      <c r="P18" s="22" t="s">
        <v>19</v>
      </c>
    </row>
    <row r="19" spans="2:20">
      <c r="B19" s="5" t="s">
        <v>15</v>
      </c>
      <c r="C19" s="5" t="s">
        <v>16</v>
      </c>
      <c r="D19" s="6">
        <v>310</v>
      </c>
      <c r="E19" s="13" t="s">
        <v>38</v>
      </c>
      <c r="F19" s="5" t="s">
        <v>18</v>
      </c>
      <c r="G19" s="5"/>
      <c r="H19" s="38" t="s">
        <v>19</v>
      </c>
      <c r="I19" s="5"/>
      <c r="J19" s="5"/>
      <c r="K19" s="5"/>
      <c r="L19" s="15" t="s">
        <v>19</v>
      </c>
      <c r="M19" s="17"/>
      <c r="N19" s="19"/>
      <c r="O19" s="21" t="s">
        <v>19</v>
      </c>
      <c r="P19" s="5" t="s">
        <v>19</v>
      </c>
    </row>
    <row r="20" spans="2:20" ht="60">
      <c r="B20" s="5" t="s">
        <v>15</v>
      </c>
      <c r="C20" s="5" t="s">
        <v>39</v>
      </c>
      <c r="D20" s="6">
        <v>350</v>
      </c>
      <c r="E20" s="11" t="s">
        <v>40</v>
      </c>
      <c r="F20" s="5" t="s">
        <v>18</v>
      </c>
      <c r="G20" s="5"/>
      <c r="H20" s="38" t="s">
        <v>19</v>
      </c>
      <c r="I20" s="5"/>
      <c r="J20" s="5"/>
      <c r="K20" s="5"/>
      <c r="L20" s="15" t="s">
        <v>19</v>
      </c>
      <c r="M20" s="17" t="s">
        <v>19</v>
      </c>
      <c r="N20" s="19"/>
      <c r="O20" s="21" t="s">
        <v>19</v>
      </c>
      <c r="P20" s="5"/>
      <c r="T20" s="29"/>
    </row>
    <row r="21" spans="2:20" ht="45">
      <c r="B21" s="5" t="s">
        <v>15</v>
      </c>
      <c r="C21" s="5" t="s">
        <v>39</v>
      </c>
      <c r="D21" s="6">
        <v>360</v>
      </c>
      <c r="E21" s="11" t="s">
        <v>41</v>
      </c>
      <c r="F21" s="5" t="s">
        <v>18</v>
      </c>
      <c r="G21" s="5"/>
      <c r="H21" s="38" t="s">
        <v>19</v>
      </c>
      <c r="I21" s="5"/>
      <c r="J21" s="5"/>
      <c r="K21" s="5"/>
      <c r="L21" s="15"/>
      <c r="M21" s="17" t="s">
        <v>19</v>
      </c>
      <c r="N21" s="19" t="s">
        <v>19</v>
      </c>
      <c r="O21" s="21"/>
      <c r="P21" s="5"/>
    </row>
    <row r="22" spans="2:20">
      <c r="B22" s="5" t="s">
        <v>15</v>
      </c>
      <c r="C22" s="5" t="s">
        <v>39</v>
      </c>
      <c r="D22" s="6">
        <v>370</v>
      </c>
      <c r="E22" s="11" t="s">
        <v>42</v>
      </c>
      <c r="F22" s="5" t="s">
        <v>30</v>
      </c>
      <c r="G22" s="5"/>
      <c r="H22" s="38" t="s">
        <v>19</v>
      </c>
      <c r="I22" s="5"/>
      <c r="J22" s="5"/>
      <c r="K22" s="5"/>
      <c r="L22" s="15" t="s">
        <v>19</v>
      </c>
      <c r="M22" s="17"/>
      <c r="N22" s="19" t="s">
        <v>19</v>
      </c>
      <c r="O22" s="21"/>
      <c r="P22" s="5"/>
    </row>
    <row r="23" spans="2:20" ht="30">
      <c r="B23" s="5" t="s">
        <v>15</v>
      </c>
      <c r="C23" s="5" t="s">
        <v>39</v>
      </c>
      <c r="D23" s="6">
        <v>380</v>
      </c>
      <c r="E23" s="11" t="s">
        <v>43</v>
      </c>
      <c r="F23" s="5" t="s">
        <v>23</v>
      </c>
      <c r="G23" s="5"/>
      <c r="H23" s="38" t="s">
        <v>19</v>
      </c>
      <c r="I23" s="5"/>
      <c r="J23" s="5"/>
      <c r="K23" s="5"/>
      <c r="L23" s="15"/>
      <c r="M23" s="17"/>
      <c r="N23" s="19"/>
      <c r="O23" s="21" t="s">
        <v>19</v>
      </c>
      <c r="P23" s="5" t="s">
        <v>19</v>
      </c>
    </row>
    <row r="24" spans="2:20" ht="45" hidden="1">
      <c r="B24" s="22" t="s">
        <v>15</v>
      </c>
      <c r="C24" s="22" t="s">
        <v>39</v>
      </c>
      <c r="D24" s="23">
        <v>390</v>
      </c>
      <c r="E24" s="12" t="s">
        <v>44</v>
      </c>
      <c r="F24" s="22" t="s">
        <v>23</v>
      </c>
      <c r="G24" s="22"/>
      <c r="H24" s="35" t="s">
        <v>19</v>
      </c>
      <c r="I24" s="22"/>
      <c r="J24" s="22"/>
      <c r="K24" s="22"/>
      <c r="L24" s="24"/>
      <c r="M24" s="25"/>
      <c r="N24" s="26"/>
      <c r="O24" s="27"/>
      <c r="P24" s="22" t="s">
        <v>19</v>
      </c>
    </row>
    <row r="25" spans="2:20" ht="90">
      <c r="B25" s="5" t="s">
        <v>15</v>
      </c>
      <c r="C25" s="5" t="s">
        <v>45</v>
      </c>
      <c r="D25" s="6">
        <v>760</v>
      </c>
      <c r="E25" s="1" t="s">
        <v>46</v>
      </c>
      <c r="F25" s="5"/>
      <c r="G25" s="5"/>
      <c r="H25" s="36" t="s">
        <v>47</v>
      </c>
      <c r="I25" s="5"/>
      <c r="J25" s="5"/>
      <c r="K25" s="5" t="s">
        <v>19</v>
      </c>
      <c r="L25" s="15" t="s">
        <v>19</v>
      </c>
      <c r="M25" s="17" t="s">
        <v>19</v>
      </c>
      <c r="N25" s="19" t="s">
        <v>19</v>
      </c>
      <c r="O25" s="21" t="s">
        <v>19</v>
      </c>
      <c r="P25" s="5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D30D-4C41-4ACD-8893-BDE2D86DF9C2}">
  <dimension ref="A1:R53"/>
  <sheetViews>
    <sheetView zoomScale="116" zoomScaleNormal="116" workbookViewId="0">
      <selection activeCell="F33" sqref="F33"/>
    </sheetView>
  </sheetViews>
  <sheetFormatPr defaultColWidth="8.7109375" defaultRowHeight="15"/>
  <cols>
    <col min="1" max="1" width="7.42578125" customWidth="1"/>
    <col min="2" max="2" width="17.28515625" customWidth="1"/>
    <col min="3" max="3" width="28" hidden="1" customWidth="1"/>
    <col min="4" max="4" width="14.42578125" customWidth="1"/>
    <col min="5" max="5" width="31.28515625" customWidth="1"/>
    <col min="6" max="6" width="78.42578125" customWidth="1"/>
    <col min="7" max="7" width="16.42578125" customWidth="1"/>
    <col min="8" max="8" width="46.7109375" customWidth="1"/>
    <col min="9" max="9" width="7.7109375" customWidth="1"/>
    <col min="10" max="10" width="8" customWidth="1"/>
    <col min="11" max="11" width="6.7109375" customWidth="1"/>
    <col min="12" max="12" width="6.42578125" customWidth="1"/>
    <col min="13" max="13" width="7" customWidth="1"/>
    <col min="14" max="14" width="15.140625" customWidth="1"/>
    <col min="15" max="15" width="17.7109375" customWidth="1"/>
    <col min="16" max="16" width="16.7109375" customWidth="1"/>
    <col min="17" max="17" width="15" customWidth="1"/>
    <col min="18" max="18" width="4" hidden="1" customWidth="1"/>
  </cols>
  <sheetData>
    <row r="1" spans="1:18" ht="30">
      <c r="A1" s="2" t="s">
        <v>48</v>
      </c>
      <c r="B1" s="2" t="s">
        <v>1</v>
      </c>
      <c r="C1" s="2" t="s">
        <v>2</v>
      </c>
      <c r="D1" s="2" t="s">
        <v>3</v>
      </c>
      <c r="E1" s="2" t="s">
        <v>49</v>
      </c>
      <c r="F1" s="2" t="s">
        <v>4</v>
      </c>
      <c r="G1" s="2"/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9" t="s">
        <v>50</v>
      </c>
      <c r="O1" s="31" t="s">
        <v>51</v>
      </c>
      <c r="P1" s="33" t="s">
        <v>52</v>
      </c>
      <c r="Q1" s="41" t="s">
        <v>53</v>
      </c>
      <c r="R1" s="2">
        <v>5</v>
      </c>
    </row>
    <row r="2" spans="1:18">
      <c r="A2" s="1" t="s">
        <v>54</v>
      </c>
      <c r="B2" s="1" t="s">
        <v>54</v>
      </c>
      <c r="C2" s="1" t="s">
        <v>55</v>
      </c>
      <c r="D2" s="30">
        <v>1050</v>
      </c>
      <c r="E2" s="30">
        <v>160</v>
      </c>
      <c r="F2" s="7" t="s">
        <v>56</v>
      </c>
      <c r="G2" s="68"/>
      <c r="H2" s="1" t="s">
        <v>18</v>
      </c>
      <c r="I2" s="1" t="s">
        <v>47</v>
      </c>
      <c r="J2" s="1" t="s">
        <v>19</v>
      </c>
      <c r="K2" s="1"/>
      <c r="L2" s="1" t="s">
        <v>47</v>
      </c>
      <c r="M2" s="1" t="s">
        <v>47</v>
      </c>
      <c r="N2" s="40"/>
      <c r="O2" s="32"/>
      <c r="P2" s="8" t="s">
        <v>19</v>
      </c>
      <c r="Q2" s="10" t="s">
        <v>19</v>
      </c>
      <c r="R2" s="1" t="s">
        <v>19</v>
      </c>
    </row>
    <row r="3" spans="1:18">
      <c r="A3" s="1" t="s">
        <v>54</v>
      </c>
      <c r="B3" s="1" t="s">
        <v>54</v>
      </c>
      <c r="C3" s="1" t="s">
        <v>55</v>
      </c>
      <c r="D3" s="30">
        <v>1070</v>
      </c>
      <c r="E3" s="30">
        <v>160</v>
      </c>
      <c r="F3" s="7" t="s">
        <v>57</v>
      </c>
      <c r="G3" s="56">
        <v>45248</v>
      </c>
      <c r="H3" s="1" t="s">
        <v>58</v>
      </c>
      <c r="I3" s="1"/>
      <c r="J3" s="1" t="s">
        <v>19</v>
      </c>
      <c r="K3" s="1"/>
      <c r="L3" s="1"/>
      <c r="M3" s="1"/>
      <c r="N3" s="40" t="s">
        <v>19</v>
      </c>
      <c r="O3" s="32"/>
      <c r="P3" s="8"/>
      <c r="Q3" s="10"/>
      <c r="R3" s="1"/>
    </row>
    <row r="4" spans="1:18">
      <c r="A4" s="1" t="s">
        <v>54</v>
      </c>
      <c r="B4" s="1" t="s">
        <v>54</v>
      </c>
      <c r="C4" s="1" t="s">
        <v>55</v>
      </c>
      <c r="D4" s="30">
        <v>1060</v>
      </c>
      <c r="E4" s="30">
        <v>170</v>
      </c>
      <c r="F4" s="7" t="s">
        <v>59</v>
      </c>
      <c r="G4" s="56">
        <v>45248</v>
      </c>
      <c r="H4" s="1" t="s">
        <v>23</v>
      </c>
      <c r="I4" s="1"/>
      <c r="J4" s="1" t="s">
        <v>19</v>
      </c>
      <c r="K4" s="1"/>
      <c r="L4" s="1"/>
      <c r="M4" s="1"/>
      <c r="N4" s="40" t="s">
        <v>19</v>
      </c>
      <c r="O4" s="32"/>
      <c r="P4" s="8"/>
      <c r="Q4" s="10"/>
      <c r="R4" s="1"/>
    </row>
    <row r="5" spans="1:18">
      <c r="A5" s="1" t="s">
        <v>54</v>
      </c>
      <c r="B5" s="1" t="s">
        <v>54</v>
      </c>
      <c r="C5" s="1" t="s">
        <v>55</v>
      </c>
      <c r="D5" s="30">
        <v>1080</v>
      </c>
      <c r="E5" s="30">
        <v>180</v>
      </c>
      <c r="F5" s="7" t="s">
        <v>60</v>
      </c>
      <c r="G5" s="56">
        <v>45249</v>
      </c>
      <c r="H5" s="1" t="s">
        <v>23</v>
      </c>
      <c r="I5" s="1"/>
      <c r="J5" s="1" t="s">
        <v>19</v>
      </c>
      <c r="K5" s="1"/>
      <c r="L5" s="1"/>
      <c r="M5" s="1"/>
      <c r="N5" s="40"/>
      <c r="O5" s="32" t="s">
        <v>19</v>
      </c>
      <c r="P5" s="8"/>
      <c r="Q5" s="10"/>
      <c r="R5" s="1"/>
    </row>
    <row r="6" spans="1:18">
      <c r="A6" s="1" t="s">
        <v>54</v>
      </c>
      <c r="B6" s="1" t="s">
        <v>54</v>
      </c>
      <c r="C6" s="1" t="s">
        <v>55</v>
      </c>
      <c r="D6" s="30">
        <v>1090</v>
      </c>
      <c r="E6" s="30">
        <v>190</v>
      </c>
      <c r="F6" s="7" t="s">
        <v>61</v>
      </c>
      <c r="G6" s="56">
        <v>45249</v>
      </c>
      <c r="H6" s="1" t="s">
        <v>18</v>
      </c>
      <c r="I6" s="1" t="s">
        <v>47</v>
      </c>
      <c r="J6" s="1" t="s">
        <v>19</v>
      </c>
      <c r="K6" s="1"/>
      <c r="L6" s="1" t="s">
        <v>47</v>
      </c>
      <c r="M6" s="1" t="s">
        <v>47</v>
      </c>
      <c r="N6" s="40" t="s">
        <v>19</v>
      </c>
      <c r="O6" s="32" t="s">
        <v>19</v>
      </c>
      <c r="P6" s="8"/>
      <c r="Q6" s="10"/>
      <c r="R6" s="1" t="s">
        <v>19</v>
      </c>
    </row>
    <row r="7" spans="1:18">
      <c r="A7" s="1" t="s">
        <v>54</v>
      </c>
      <c r="B7" s="1" t="s">
        <v>54</v>
      </c>
      <c r="C7" s="1" t="s">
        <v>55</v>
      </c>
      <c r="D7" s="30">
        <v>1110</v>
      </c>
      <c r="E7" s="30">
        <v>200</v>
      </c>
      <c r="F7" s="7" t="s">
        <v>62</v>
      </c>
      <c r="G7" s="56">
        <v>45249</v>
      </c>
      <c r="H7" s="1" t="s">
        <v>58</v>
      </c>
      <c r="I7" s="1"/>
      <c r="J7" s="1" t="s">
        <v>19</v>
      </c>
      <c r="K7" s="1"/>
      <c r="L7" s="1"/>
      <c r="M7" s="1"/>
      <c r="N7" s="40"/>
      <c r="O7" s="32" t="s">
        <v>19</v>
      </c>
      <c r="P7" s="8"/>
      <c r="Q7" s="10"/>
      <c r="R7" s="1"/>
    </row>
    <row r="8" spans="1:18">
      <c r="A8" s="1" t="s">
        <v>54</v>
      </c>
      <c r="B8" s="1" t="s">
        <v>54</v>
      </c>
      <c r="C8" s="1" t="s">
        <v>55</v>
      </c>
      <c r="D8" s="30">
        <v>1100</v>
      </c>
      <c r="E8" s="30">
        <v>210</v>
      </c>
      <c r="F8" s="7" t="s">
        <v>63</v>
      </c>
      <c r="G8" s="56">
        <v>45249</v>
      </c>
      <c r="H8" s="1" t="s">
        <v>23</v>
      </c>
      <c r="I8" s="1"/>
      <c r="J8" s="1" t="s">
        <v>19</v>
      </c>
      <c r="K8" s="1"/>
      <c r="L8" s="1"/>
      <c r="M8" s="1"/>
      <c r="N8" s="40"/>
      <c r="O8" s="32" t="s">
        <v>19</v>
      </c>
      <c r="P8" s="8"/>
      <c r="Q8" s="10"/>
      <c r="R8" s="1"/>
    </row>
    <row r="9" spans="1:18" ht="27" customHeight="1">
      <c r="A9" s="1" t="s">
        <v>54</v>
      </c>
      <c r="B9" s="1" t="s">
        <v>54</v>
      </c>
      <c r="C9" s="1" t="s">
        <v>55</v>
      </c>
      <c r="D9" s="30">
        <v>1200</v>
      </c>
      <c r="E9" s="30">
        <v>220</v>
      </c>
      <c r="F9" s="7" t="s">
        <v>64</v>
      </c>
      <c r="G9" s="67"/>
      <c r="H9" s="1" t="s">
        <v>23</v>
      </c>
      <c r="I9" s="1"/>
      <c r="J9" s="1" t="s">
        <v>19</v>
      </c>
      <c r="K9" s="1"/>
      <c r="L9" s="1"/>
      <c r="M9" s="1"/>
      <c r="N9" s="40"/>
      <c r="O9" s="32"/>
      <c r="P9" s="8" t="s">
        <v>19</v>
      </c>
      <c r="Q9" s="10"/>
      <c r="R9" s="1"/>
    </row>
    <row r="10" spans="1:18">
      <c r="A10" s="1" t="s">
        <v>54</v>
      </c>
      <c r="B10" s="1" t="s">
        <v>54</v>
      </c>
      <c r="C10" s="1" t="s">
        <v>55</v>
      </c>
      <c r="D10" s="30">
        <v>1120</v>
      </c>
      <c r="E10" s="30">
        <v>230</v>
      </c>
      <c r="F10" s="7" t="s">
        <v>65</v>
      </c>
      <c r="G10" s="56">
        <v>45249</v>
      </c>
      <c r="H10" s="1" t="s">
        <v>58</v>
      </c>
      <c r="I10" s="1"/>
      <c r="J10" s="1" t="s">
        <v>19</v>
      </c>
      <c r="K10" s="1"/>
      <c r="L10" s="1"/>
      <c r="M10" s="1"/>
      <c r="N10" s="40" t="s">
        <v>19</v>
      </c>
      <c r="O10" s="32"/>
      <c r="P10" s="8"/>
      <c r="Q10" s="10"/>
      <c r="R10" s="1"/>
    </row>
    <row r="11" spans="1:18">
      <c r="A11" s="1" t="s">
        <v>54</v>
      </c>
      <c r="B11" s="1" t="s">
        <v>54</v>
      </c>
      <c r="C11" s="1" t="s">
        <v>55</v>
      </c>
      <c r="D11" s="30">
        <v>1170</v>
      </c>
      <c r="E11" s="30">
        <v>240</v>
      </c>
      <c r="F11" s="7" t="s">
        <v>66</v>
      </c>
      <c r="G11" s="56">
        <v>45249</v>
      </c>
      <c r="H11" s="1" t="s">
        <v>18</v>
      </c>
      <c r="I11" s="1" t="s">
        <v>47</v>
      </c>
      <c r="J11" s="1" t="s">
        <v>19</v>
      </c>
      <c r="K11" s="1"/>
      <c r="L11" s="1" t="s">
        <v>47</v>
      </c>
      <c r="M11" s="1" t="s">
        <v>47</v>
      </c>
      <c r="N11" s="40" t="s">
        <v>19</v>
      </c>
      <c r="O11" s="32" t="s">
        <v>19</v>
      </c>
      <c r="P11" s="8" t="s">
        <v>19</v>
      </c>
      <c r="Q11" s="10"/>
      <c r="R11" s="1"/>
    </row>
    <row r="12" spans="1:18">
      <c r="A12" s="1" t="s">
        <v>54</v>
      </c>
      <c r="B12" s="1" t="s">
        <v>54</v>
      </c>
      <c r="C12" s="1" t="s">
        <v>55</v>
      </c>
      <c r="D12" s="30">
        <v>1180</v>
      </c>
      <c r="E12" s="30">
        <v>250</v>
      </c>
      <c r="F12" s="7" t="s">
        <v>67</v>
      </c>
      <c r="G12" s="72"/>
      <c r="H12" s="1" t="s">
        <v>58</v>
      </c>
      <c r="I12" s="1"/>
      <c r="J12" s="1" t="s">
        <v>19</v>
      </c>
      <c r="K12" s="1"/>
      <c r="L12" s="1"/>
      <c r="M12" s="1"/>
      <c r="N12" s="40"/>
      <c r="O12" s="32"/>
      <c r="P12" s="8" t="s">
        <v>19</v>
      </c>
      <c r="Q12" s="10"/>
      <c r="R12" s="1"/>
    </row>
    <row r="13" spans="1:18">
      <c r="A13" s="1" t="s">
        <v>54</v>
      </c>
      <c r="B13" s="1" t="s">
        <v>54</v>
      </c>
      <c r="C13" s="1" t="s">
        <v>55</v>
      </c>
      <c r="D13" s="30">
        <v>1190</v>
      </c>
      <c r="E13" s="30">
        <v>260</v>
      </c>
      <c r="F13" s="7" t="s">
        <v>68</v>
      </c>
      <c r="G13" s="66">
        <v>45247</v>
      </c>
      <c r="H13" s="1" t="s">
        <v>23</v>
      </c>
      <c r="I13" s="1"/>
      <c r="J13" s="1" t="s">
        <v>19</v>
      </c>
      <c r="K13" s="1"/>
      <c r="L13" s="1"/>
      <c r="M13" s="1"/>
      <c r="N13" s="40"/>
      <c r="O13" s="32"/>
      <c r="P13" s="8"/>
      <c r="Q13" s="10" t="s">
        <v>19</v>
      </c>
      <c r="R13" s="1"/>
    </row>
    <row r="14" spans="1:18" ht="52.5" customHeight="1">
      <c r="A14" s="1" t="s">
        <v>54</v>
      </c>
      <c r="B14" s="1" t="s">
        <v>54</v>
      </c>
      <c r="C14" s="1" t="s">
        <v>69</v>
      </c>
      <c r="D14" s="30">
        <v>640</v>
      </c>
      <c r="E14" s="1"/>
      <c r="F14" s="8" t="s">
        <v>70</v>
      </c>
      <c r="G14" s="59">
        <v>45249</v>
      </c>
      <c r="H14" s="50"/>
      <c r="I14" s="1" t="s">
        <v>47</v>
      </c>
      <c r="J14" s="1" t="s">
        <v>47</v>
      </c>
      <c r="K14" s="1" t="s">
        <v>19</v>
      </c>
      <c r="L14" s="1" t="s">
        <v>47</v>
      </c>
      <c r="M14" s="1" t="s">
        <v>47</v>
      </c>
      <c r="N14" s="40"/>
      <c r="O14" s="32"/>
      <c r="P14" s="8" t="s">
        <v>19</v>
      </c>
      <c r="Q14" s="10"/>
      <c r="R14" s="1" t="s">
        <v>71</v>
      </c>
    </row>
    <row r="15" spans="1:18" ht="30">
      <c r="A15" s="1" t="s">
        <v>54</v>
      </c>
      <c r="B15" s="1" t="s">
        <v>54</v>
      </c>
      <c r="C15" s="1" t="s">
        <v>69</v>
      </c>
      <c r="D15" s="30">
        <v>650</v>
      </c>
      <c r="E15" s="1"/>
      <c r="F15" s="8" t="s">
        <v>72</v>
      </c>
      <c r="G15" s="58">
        <v>45245</v>
      </c>
      <c r="H15" s="50"/>
      <c r="I15" s="1"/>
      <c r="J15" s="1"/>
      <c r="K15" s="1" t="s">
        <v>19</v>
      </c>
      <c r="L15" s="1"/>
      <c r="M15" s="1"/>
      <c r="N15" s="40" t="s">
        <v>19</v>
      </c>
      <c r="O15" s="32"/>
      <c r="P15" s="8"/>
      <c r="Q15" s="10"/>
      <c r="R15" s="1" t="s">
        <v>71</v>
      </c>
    </row>
    <row r="16" spans="1:18" ht="30">
      <c r="A16" s="1" t="s">
        <v>54</v>
      </c>
      <c r="B16" s="1" t="s">
        <v>54</v>
      </c>
      <c r="C16" s="1" t="s">
        <v>69</v>
      </c>
      <c r="D16" s="30">
        <v>660</v>
      </c>
      <c r="E16" s="1"/>
      <c r="F16" s="8" t="s">
        <v>73</v>
      </c>
      <c r="G16" s="58">
        <v>45245</v>
      </c>
      <c r="H16" s="50"/>
      <c r="I16" s="1"/>
      <c r="J16" s="1"/>
      <c r="K16" s="1" t="s">
        <v>19</v>
      </c>
      <c r="L16" s="1"/>
      <c r="M16" s="1"/>
      <c r="N16" s="40"/>
      <c r="O16" s="32"/>
      <c r="P16" s="8"/>
      <c r="Q16" s="10" t="s">
        <v>19</v>
      </c>
      <c r="R16" s="1" t="s">
        <v>71</v>
      </c>
    </row>
    <row r="17" spans="1:18" ht="35.25" customHeight="1">
      <c r="A17" s="1" t="s">
        <v>54</v>
      </c>
      <c r="B17" s="1" t="s">
        <v>54</v>
      </c>
      <c r="C17" s="1" t="s">
        <v>69</v>
      </c>
      <c r="D17" s="30">
        <v>670</v>
      </c>
      <c r="E17" s="1"/>
      <c r="F17" s="8" t="s">
        <v>74</v>
      </c>
      <c r="G17" s="59">
        <v>45249</v>
      </c>
      <c r="H17" s="50"/>
      <c r="I17" s="1"/>
      <c r="J17" s="1"/>
      <c r="K17" s="1" t="s">
        <v>19</v>
      </c>
      <c r="L17" s="1"/>
      <c r="M17" s="1"/>
      <c r="N17" s="40"/>
      <c r="O17" s="32" t="s">
        <v>19</v>
      </c>
      <c r="P17" s="8"/>
      <c r="Q17" s="10"/>
      <c r="R17" s="1" t="s">
        <v>71</v>
      </c>
    </row>
    <row r="18" spans="1:18" ht="30">
      <c r="A18" s="1" t="s">
        <v>54</v>
      </c>
      <c r="B18" s="1" t="s">
        <v>54</v>
      </c>
      <c r="C18" s="1" t="s">
        <v>69</v>
      </c>
      <c r="D18" s="30">
        <v>800</v>
      </c>
      <c r="E18" s="1"/>
      <c r="F18" s="52" t="s">
        <v>75</v>
      </c>
      <c r="G18" s="57">
        <v>45247</v>
      </c>
      <c r="H18" s="51"/>
      <c r="I18" s="1"/>
      <c r="J18" s="1"/>
      <c r="K18" s="1" t="s">
        <v>19</v>
      </c>
      <c r="L18" s="1"/>
      <c r="M18" s="1"/>
      <c r="N18" s="40"/>
      <c r="O18" s="32"/>
      <c r="P18" s="8"/>
      <c r="Q18" s="10" t="s">
        <v>19</v>
      </c>
      <c r="R18" s="1" t="s">
        <v>71</v>
      </c>
    </row>
    <row r="19" spans="1:18" ht="43.5" customHeight="1">
      <c r="A19" s="1" t="s">
        <v>54</v>
      </c>
      <c r="B19" s="1" t="s">
        <v>54</v>
      </c>
      <c r="C19" s="1" t="s">
        <v>69</v>
      </c>
      <c r="D19" s="30">
        <v>810</v>
      </c>
      <c r="E19" s="1"/>
      <c r="F19" s="8" t="s">
        <v>76</v>
      </c>
      <c r="G19" s="57">
        <v>45250</v>
      </c>
      <c r="H19" s="50"/>
      <c r="I19" s="1"/>
      <c r="J19" s="1"/>
      <c r="K19" s="1" t="s">
        <v>19</v>
      </c>
      <c r="L19" s="1"/>
      <c r="M19" s="1"/>
      <c r="N19" s="40"/>
      <c r="O19" s="32"/>
      <c r="P19" s="8" t="s">
        <v>19</v>
      </c>
      <c r="Q19" s="10"/>
      <c r="R19" s="1" t="s">
        <v>71</v>
      </c>
    </row>
    <row r="20" spans="1:18" ht="30">
      <c r="A20" s="1" t="s">
        <v>54</v>
      </c>
      <c r="B20" s="1" t="s">
        <v>54</v>
      </c>
      <c r="C20" s="1" t="s">
        <v>69</v>
      </c>
      <c r="D20" s="30">
        <v>820</v>
      </c>
      <c r="E20" s="1"/>
      <c r="F20" s="8" t="s">
        <v>77</v>
      </c>
      <c r="G20" s="57">
        <v>45249</v>
      </c>
      <c r="H20" s="50"/>
      <c r="I20" s="1"/>
      <c r="J20" s="1"/>
      <c r="K20" s="1" t="s">
        <v>19</v>
      </c>
      <c r="L20" s="1"/>
      <c r="M20" s="1"/>
      <c r="N20" s="40" t="s">
        <v>19</v>
      </c>
      <c r="O20" s="32"/>
      <c r="P20" s="8"/>
      <c r="Q20" s="10"/>
      <c r="R20" s="1" t="s">
        <v>71</v>
      </c>
    </row>
    <row r="21" spans="1:18" ht="47.25" customHeight="1">
      <c r="A21" s="1" t="s">
        <v>54</v>
      </c>
      <c r="B21" s="1" t="s">
        <v>54</v>
      </c>
      <c r="C21" s="1" t="s">
        <v>69</v>
      </c>
      <c r="D21" s="30">
        <v>830</v>
      </c>
      <c r="E21" s="1"/>
      <c r="F21" s="8" t="s">
        <v>78</v>
      </c>
      <c r="G21" s="61">
        <v>45249</v>
      </c>
      <c r="H21" s="50"/>
      <c r="I21" s="1"/>
      <c r="J21" s="1"/>
      <c r="K21" s="1" t="s">
        <v>19</v>
      </c>
      <c r="L21" s="1"/>
      <c r="M21" s="1"/>
      <c r="N21" s="40"/>
      <c r="O21" s="32" t="s">
        <v>19</v>
      </c>
      <c r="P21" s="8"/>
      <c r="Q21" s="10"/>
      <c r="R21" s="1" t="s">
        <v>71</v>
      </c>
    </row>
    <row r="22" spans="1:18" ht="26.25" customHeight="1">
      <c r="A22" s="1" t="s">
        <v>54</v>
      </c>
      <c r="B22" s="1" t="s">
        <v>54</v>
      </c>
      <c r="C22" s="1" t="s">
        <v>55</v>
      </c>
      <c r="D22" s="30">
        <v>1130</v>
      </c>
      <c r="E22" s="30">
        <v>270</v>
      </c>
      <c r="F22" s="7" t="s">
        <v>79</v>
      </c>
      <c r="G22" s="56">
        <v>45247</v>
      </c>
      <c r="H22" s="1" t="s">
        <v>18</v>
      </c>
      <c r="I22" s="1" t="s">
        <v>47</v>
      </c>
      <c r="J22" s="1" t="s">
        <v>19</v>
      </c>
      <c r="K22" s="1"/>
      <c r="L22" s="1" t="s">
        <v>47</v>
      </c>
      <c r="M22" s="1" t="s">
        <v>47</v>
      </c>
      <c r="N22" s="40"/>
      <c r="O22" s="32" t="s">
        <v>19</v>
      </c>
      <c r="P22" s="8" t="s">
        <v>19</v>
      </c>
      <c r="Q22" s="10" t="s">
        <v>19</v>
      </c>
      <c r="R22" s="1"/>
    </row>
    <row r="23" spans="1:18" ht="30">
      <c r="A23" s="1" t="s">
        <v>54</v>
      </c>
      <c r="B23" s="1" t="s">
        <v>54</v>
      </c>
      <c r="C23" s="1" t="s">
        <v>55</v>
      </c>
      <c r="D23" s="30">
        <v>1150</v>
      </c>
      <c r="E23" s="30">
        <v>280</v>
      </c>
      <c r="F23" s="7" t="s">
        <v>80</v>
      </c>
      <c r="G23" s="67"/>
      <c r="H23" s="1" t="s">
        <v>81</v>
      </c>
      <c r="I23" s="1"/>
      <c r="J23" s="1" t="s">
        <v>19</v>
      </c>
      <c r="K23" s="1"/>
      <c r="L23" s="1"/>
      <c r="M23" s="1"/>
      <c r="N23" s="40"/>
      <c r="O23" s="32"/>
      <c r="P23" s="8" t="s">
        <v>19</v>
      </c>
      <c r="Q23" s="10"/>
      <c r="R23" s="1"/>
    </row>
    <row r="24" spans="1:18">
      <c r="A24" s="1" t="s">
        <v>54</v>
      </c>
      <c r="B24" s="1" t="s">
        <v>54</v>
      </c>
      <c r="C24" s="1" t="s">
        <v>55</v>
      </c>
      <c r="D24" s="30">
        <v>1140</v>
      </c>
      <c r="E24" s="30">
        <v>290</v>
      </c>
      <c r="F24" s="7" t="s">
        <v>82</v>
      </c>
      <c r="G24" s="56">
        <v>45247</v>
      </c>
      <c r="H24" s="60" t="s">
        <v>23</v>
      </c>
      <c r="I24" s="1"/>
      <c r="J24" s="1" t="s">
        <v>19</v>
      </c>
      <c r="K24" s="1"/>
      <c r="L24" s="1"/>
      <c r="M24" s="1"/>
      <c r="N24" s="40"/>
      <c r="O24" s="32"/>
      <c r="P24" s="8"/>
      <c r="Q24" s="10" t="s">
        <v>19</v>
      </c>
      <c r="R24" s="1"/>
    </row>
    <row r="25" spans="1:18" s="47" customFormat="1" hidden="1">
      <c r="A25" s="12" t="s">
        <v>54</v>
      </c>
      <c r="B25" s="12" t="s">
        <v>54</v>
      </c>
      <c r="C25" s="12" t="s">
        <v>55</v>
      </c>
      <c r="D25" s="42">
        <v>1160</v>
      </c>
      <c r="E25" s="42">
        <v>300</v>
      </c>
      <c r="F25" s="48" t="s">
        <v>83</v>
      </c>
      <c r="G25" s="54"/>
      <c r="H25" s="12" t="s">
        <v>23</v>
      </c>
      <c r="I25" s="12"/>
      <c r="J25" s="12" t="s">
        <v>19</v>
      </c>
      <c r="K25" s="12"/>
      <c r="L25" s="12"/>
      <c r="M25" s="12"/>
      <c r="N25" s="43"/>
      <c r="O25" s="44"/>
      <c r="P25" s="45"/>
      <c r="Q25" s="46"/>
      <c r="R25" s="12" t="s">
        <v>19</v>
      </c>
    </row>
    <row r="26" spans="1:18">
      <c r="A26" s="1" t="s">
        <v>54</v>
      </c>
      <c r="B26" s="1" t="s">
        <v>54</v>
      </c>
      <c r="C26" s="1" t="s">
        <v>55</v>
      </c>
      <c r="D26" s="30">
        <v>1210</v>
      </c>
      <c r="E26" s="30">
        <v>310</v>
      </c>
      <c r="F26" s="7" t="s">
        <v>84</v>
      </c>
      <c r="G26" s="56">
        <v>45247</v>
      </c>
      <c r="H26" s="1" t="s">
        <v>18</v>
      </c>
      <c r="I26" s="1"/>
      <c r="J26" s="1" t="s">
        <v>19</v>
      </c>
      <c r="K26" s="1"/>
      <c r="L26" s="1"/>
      <c r="M26" s="1"/>
      <c r="N26" s="40" t="s">
        <v>19</v>
      </c>
      <c r="O26" s="32"/>
      <c r="P26" s="8"/>
      <c r="Q26" s="10" t="s">
        <v>19</v>
      </c>
      <c r="R26" s="1" t="s">
        <v>19</v>
      </c>
    </row>
    <row r="27" spans="1:18" ht="30">
      <c r="A27" s="1" t="s">
        <v>54</v>
      </c>
      <c r="B27" s="1" t="s">
        <v>54</v>
      </c>
      <c r="C27" s="1" t="s">
        <v>85</v>
      </c>
      <c r="D27" s="30">
        <v>1000</v>
      </c>
      <c r="E27" s="30">
        <v>350</v>
      </c>
      <c r="F27" s="7" t="s">
        <v>86</v>
      </c>
      <c r="G27" s="56">
        <v>45252</v>
      </c>
      <c r="H27" s="1" t="s">
        <v>18</v>
      </c>
      <c r="I27" s="1"/>
      <c r="J27" s="1" t="s">
        <v>19</v>
      </c>
      <c r="K27" s="1"/>
      <c r="L27" s="1"/>
      <c r="M27" s="1"/>
      <c r="N27" s="40" t="s">
        <v>19</v>
      </c>
      <c r="O27" s="32" t="s">
        <v>19</v>
      </c>
      <c r="P27" s="8"/>
      <c r="Q27" s="10" t="s">
        <v>19</v>
      </c>
      <c r="R27" s="1"/>
    </row>
    <row r="28" spans="1:18" ht="31.5" customHeight="1">
      <c r="A28" s="1" t="s">
        <v>54</v>
      </c>
      <c r="B28" s="1" t="s">
        <v>54</v>
      </c>
      <c r="C28" s="1" t="s">
        <v>85</v>
      </c>
      <c r="D28" s="30">
        <v>1010</v>
      </c>
      <c r="E28" s="30">
        <v>360</v>
      </c>
      <c r="F28" s="7" t="s">
        <v>87</v>
      </c>
      <c r="G28" s="56">
        <v>45253</v>
      </c>
      <c r="H28" s="1" t="s">
        <v>18</v>
      </c>
      <c r="I28" s="1" t="s">
        <v>47</v>
      </c>
      <c r="J28" s="1" t="s">
        <v>19</v>
      </c>
      <c r="K28" s="1"/>
      <c r="L28" s="1" t="s">
        <v>47</v>
      </c>
      <c r="M28" s="1" t="s">
        <v>47</v>
      </c>
      <c r="N28" s="40"/>
      <c r="O28" s="32" t="s">
        <v>19</v>
      </c>
      <c r="P28" s="8" t="s">
        <v>19</v>
      </c>
      <c r="Q28" s="10"/>
      <c r="R28" s="1"/>
    </row>
    <row r="29" spans="1:18">
      <c r="A29" s="1" t="s">
        <v>54</v>
      </c>
      <c r="B29" s="1" t="s">
        <v>54</v>
      </c>
      <c r="C29" s="1" t="s">
        <v>85</v>
      </c>
      <c r="D29" s="30">
        <v>1020</v>
      </c>
      <c r="E29" s="30">
        <v>370</v>
      </c>
      <c r="F29" s="7" t="s">
        <v>88</v>
      </c>
      <c r="G29" s="67"/>
      <c r="H29" s="1" t="s">
        <v>58</v>
      </c>
      <c r="I29" s="1" t="s">
        <v>47</v>
      </c>
      <c r="J29" s="1" t="s">
        <v>19</v>
      </c>
      <c r="K29" s="1"/>
      <c r="L29" s="1" t="s">
        <v>47</v>
      </c>
      <c r="M29" s="1" t="s">
        <v>47</v>
      </c>
      <c r="N29" s="40"/>
      <c r="O29" s="32"/>
      <c r="P29" s="8" t="s">
        <v>19</v>
      </c>
      <c r="Q29" s="10"/>
      <c r="R29" s="1"/>
    </row>
    <row r="30" spans="1:18">
      <c r="A30" s="1" t="s">
        <v>54</v>
      </c>
      <c r="B30" s="1" t="s">
        <v>54</v>
      </c>
      <c r="C30" s="1" t="s">
        <v>85</v>
      </c>
      <c r="D30" s="30">
        <v>1030</v>
      </c>
      <c r="E30" s="30">
        <v>380</v>
      </c>
      <c r="F30" s="7" t="s">
        <v>89</v>
      </c>
      <c r="G30" s="56">
        <v>45250</v>
      </c>
      <c r="H30" s="1" t="s">
        <v>23</v>
      </c>
      <c r="I30" s="1"/>
      <c r="J30" s="1" t="s">
        <v>19</v>
      </c>
      <c r="K30" s="1"/>
      <c r="L30" s="1"/>
      <c r="M30" s="1"/>
      <c r="N30" s="40"/>
      <c r="O30" s="32"/>
      <c r="P30" s="8"/>
      <c r="Q30" s="10" t="s">
        <v>19</v>
      </c>
      <c r="R30" s="1" t="s">
        <v>19</v>
      </c>
    </row>
    <row r="31" spans="1:18" s="47" customFormat="1" ht="30" hidden="1">
      <c r="A31" s="12" t="s">
        <v>54</v>
      </c>
      <c r="B31" s="12" t="s">
        <v>54</v>
      </c>
      <c r="C31" s="12" t="s">
        <v>85</v>
      </c>
      <c r="D31" s="42">
        <v>1040</v>
      </c>
      <c r="E31" s="42">
        <v>390</v>
      </c>
      <c r="F31" s="48" t="s">
        <v>90</v>
      </c>
      <c r="G31" s="12"/>
      <c r="H31" s="12" t="s">
        <v>23</v>
      </c>
      <c r="I31" s="12"/>
      <c r="J31" s="12" t="s">
        <v>19</v>
      </c>
      <c r="K31" s="12"/>
      <c r="L31" s="12"/>
      <c r="M31" s="12"/>
      <c r="N31" s="43"/>
      <c r="O31" s="44"/>
      <c r="P31" s="45"/>
      <c r="Q31" s="46"/>
      <c r="R31" s="12" t="s">
        <v>19</v>
      </c>
    </row>
    <row r="32" spans="1:18" ht="42" hidden="1" customHeight="1">
      <c r="A32" s="12" t="s">
        <v>54</v>
      </c>
      <c r="B32" s="12" t="s">
        <v>54</v>
      </c>
      <c r="C32" s="12" t="s">
        <v>55</v>
      </c>
      <c r="D32" s="42">
        <v>130</v>
      </c>
      <c r="E32" s="12"/>
      <c r="F32" s="48" t="s">
        <v>91</v>
      </c>
      <c r="G32" s="12"/>
      <c r="H32" s="12"/>
      <c r="I32" s="12" t="s">
        <v>47</v>
      </c>
      <c r="J32" s="12" t="s">
        <v>19</v>
      </c>
      <c r="K32" s="12"/>
      <c r="L32" s="12" t="s">
        <v>47</v>
      </c>
      <c r="M32" s="12"/>
      <c r="N32" s="43"/>
      <c r="O32" s="44"/>
      <c r="P32" s="45"/>
      <c r="Q32" s="46"/>
      <c r="R32" s="1"/>
    </row>
    <row r="33" spans="1:18" ht="87" customHeight="1">
      <c r="A33" s="1" t="s">
        <v>54</v>
      </c>
      <c r="B33" s="1" t="s">
        <v>54</v>
      </c>
      <c r="C33" s="1" t="s">
        <v>92</v>
      </c>
      <c r="D33" s="30">
        <v>1220</v>
      </c>
      <c r="E33" s="1"/>
      <c r="F33" s="7" t="s">
        <v>93</v>
      </c>
      <c r="G33" s="73"/>
      <c r="H33" s="1" t="s">
        <v>94</v>
      </c>
      <c r="I33" s="1" t="s">
        <v>47</v>
      </c>
      <c r="J33" s="1" t="s">
        <v>19</v>
      </c>
      <c r="K33" s="1"/>
      <c r="L33" s="1"/>
      <c r="M33" s="1" t="s">
        <v>47</v>
      </c>
      <c r="N33" s="40"/>
      <c r="O33" s="32"/>
      <c r="P33" s="8" t="s">
        <v>19</v>
      </c>
      <c r="Q33" s="10" t="s">
        <v>19</v>
      </c>
      <c r="R33" s="1" t="s">
        <v>19</v>
      </c>
    </row>
    <row r="34" spans="1:18" ht="82.5" customHeight="1">
      <c r="A34" s="1" t="s">
        <v>54</v>
      </c>
      <c r="B34" s="1" t="s">
        <v>54</v>
      </c>
      <c r="C34" s="1" t="s">
        <v>95</v>
      </c>
      <c r="D34" s="30">
        <v>90</v>
      </c>
      <c r="E34" s="1"/>
      <c r="F34" s="49" t="s">
        <v>96</v>
      </c>
      <c r="G34" s="75"/>
      <c r="I34" s="1"/>
      <c r="J34" s="1"/>
      <c r="K34" s="1"/>
      <c r="L34" s="1"/>
      <c r="M34" s="1" t="s">
        <v>19</v>
      </c>
      <c r="N34" s="40" t="s">
        <v>19</v>
      </c>
      <c r="O34" s="32" t="s">
        <v>19</v>
      </c>
      <c r="P34" s="8" t="s">
        <v>19</v>
      </c>
      <c r="Q34" s="10" t="s">
        <v>19</v>
      </c>
      <c r="R34" s="1" t="s">
        <v>19</v>
      </c>
    </row>
    <row r="35" spans="1:18">
      <c r="A35" s="1" t="s">
        <v>54</v>
      </c>
      <c r="B35" s="1" t="s">
        <v>54</v>
      </c>
      <c r="C35" s="1" t="s">
        <v>97</v>
      </c>
      <c r="D35" s="30">
        <v>610</v>
      </c>
      <c r="E35" s="1"/>
      <c r="F35" s="9" t="s">
        <v>98</v>
      </c>
      <c r="G35" s="66">
        <v>45248</v>
      </c>
      <c r="H35" s="1"/>
      <c r="I35" s="1"/>
      <c r="J35" s="1" t="s">
        <v>19</v>
      </c>
      <c r="K35" s="1"/>
      <c r="L35" s="1"/>
      <c r="M35" s="1"/>
      <c r="N35" s="40"/>
      <c r="O35" s="32" t="s">
        <v>19</v>
      </c>
      <c r="P35" s="8"/>
      <c r="Q35" s="10" t="s">
        <v>19</v>
      </c>
      <c r="R35" s="1"/>
    </row>
    <row r="36" spans="1:18">
      <c r="A36" s="1" t="s">
        <v>54</v>
      </c>
      <c r="B36" s="1" t="s">
        <v>54</v>
      </c>
      <c r="C36" s="1" t="s">
        <v>97</v>
      </c>
      <c r="D36" s="30">
        <v>620</v>
      </c>
      <c r="E36" s="1" t="s">
        <v>48</v>
      </c>
      <c r="F36" s="9" t="s">
        <v>99</v>
      </c>
      <c r="G36" s="74">
        <v>45248</v>
      </c>
      <c r="H36" s="1"/>
      <c r="I36" s="1"/>
      <c r="J36" s="1" t="s">
        <v>19</v>
      </c>
      <c r="K36" s="1"/>
      <c r="L36" s="1"/>
      <c r="M36" s="1"/>
      <c r="N36" s="40" t="s">
        <v>19</v>
      </c>
      <c r="O36" s="32"/>
      <c r="P36" s="8"/>
      <c r="Q36" s="10"/>
      <c r="R36" s="1"/>
    </row>
    <row r="37" spans="1:18">
      <c r="A37" s="1" t="s">
        <v>54</v>
      </c>
      <c r="B37" s="1" t="s">
        <v>54</v>
      </c>
      <c r="C37" s="1" t="s">
        <v>97</v>
      </c>
      <c r="D37" s="30">
        <v>630</v>
      </c>
      <c r="E37" s="1"/>
      <c r="F37" s="9" t="s">
        <v>100</v>
      </c>
      <c r="G37" s="56">
        <v>45243</v>
      </c>
      <c r="H37" s="1"/>
      <c r="I37" s="1"/>
      <c r="J37" s="1" t="s">
        <v>19</v>
      </c>
      <c r="K37" s="1" t="s">
        <v>47</v>
      </c>
      <c r="L37" s="1"/>
      <c r="M37" s="1"/>
      <c r="N37" s="40"/>
      <c r="O37" s="32"/>
      <c r="P37" s="8" t="s">
        <v>19</v>
      </c>
      <c r="Q37" s="10"/>
      <c r="R37" s="1"/>
    </row>
    <row r="38" spans="1:18" ht="36.75" customHeight="1">
      <c r="A38" s="1" t="s">
        <v>54</v>
      </c>
      <c r="B38" s="1" t="s">
        <v>54</v>
      </c>
      <c r="C38" s="1" t="s">
        <v>45</v>
      </c>
      <c r="D38" s="30">
        <v>535</v>
      </c>
      <c r="E38" s="1"/>
      <c r="F38" s="9" t="s">
        <v>101</v>
      </c>
      <c r="G38" s="56">
        <v>45250</v>
      </c>
      <c r="H38" s="1"/>
      <c r="I38" s="1" t="s">
        <v>47</v>
      </c>
      <c r="J38" s="1" t="s">
        <v>47</v>
      </c>
      <c r="K38" s="1" t="s">
        <v>47</v>
      </c>
      <c r="L38" s="1" t="s">
        <v>47</v>
      </c>
      <c r="M38" s="1" t="s">
        <v>19</v>
      </c>
      <c r="N38" s="40" t="s">
        <v>19</v>
      </c>
      <c r="O38" s="32" t="s">
        <v>19</v>
      </c>
      <c r="P38" s="8" t="s">
        <v>19</v>
      </c>
      <c r="Q38" s="10" t="s">
        <v>19</v>
      </c>
      <c r="R38" s="1" t="s">
        <v>19</v>
      </c>
    </row>
    <row r="39" spans="1:18" ht="30">
      <c r="A39" s="1" t="s">
        <v>54</v>
      </c>
      <c r="B39" s="1" t="s">
        <v>54</v>
      </c>
      <c r="C39" s="1" t="s">
        <v>45</v>
      </c>
      <c r="D39" s="30">
        <v>700</v>
      </c>
      <c r="E39" s="1"/>
      <c r="F39" s="9" t="s">
        <v>102</v>
      </c>
      <c r="G39" s="103" t="s">
        <v>103</v>
      </c>
      <c r="H39" s="53" t="s">
        <v>104</v>
      </c>
      <c r="I39" s="1" t="s">
        <v>47</v>
      </c>
      <c r="J39" s="1" t="s">
        <v>47</v>
      </c>
      <c r="K39" s="1"/>
      <c r="L39" s="1" t="s">
        <v>47</v>
      </c>
      <c r="M39" s="1" t="s">
        <v>19</v>
      </c>
      <c r="N39" s="40" t="s">
        <v>19</v>
      </c>
      <c r="O39" s="32"/>
      <c r="P39" s="8"/>
      <c r="Q39" s="10" t="s">
        <v>19</v>
      </c>
      <c r="R39" s="1" t="s">
        <v>19</v>
      </c>
    </row>
    <row r="40" spans="1:18" ht="46.5" customHeight="1">
      <c r="A40" s="1" t="s">
        <v>54</v>
      </c>
      <c r="B40" s="1" t="s">
        <v>54</v>
      </c>
      <c r="C40" s="1" t="s">
        <v>45</v>
      </c>
      <c r="D40" s="30">
        <v>710</v>
      </c>
      <c r="E40" s="1"/>
      <c r="F40" s="9" t="s">
        <v>105</v>
      </c>
      <c r="G40" s="104"/>
      <c r="H40" s="53" t="s">
        <v>104</v>
      </c>
      <c r="I40" s="1" t="s">
        <v>47</v>
      </c>
      <c r="J40" s="1" t="s">
        <v>47</v>
      </c>
      <c r="K40" s="1"/>
      <c r="L40" s="1" t="s">
        <v>47</v>
      </c>
      <c r="M40" s="1" t="s">
        <v>19</v>
      </c>
      <c r="N40" s="40" t="s">
        <v>19</v>
      </c>
      <c r="O40" s="32"/>
      <c r="P40" s="8"/>
      <c r="Q40" s="10" t="s">
        <v>19</v>
      </c>
      <c r="R40" s="1" t="s">
        <v>19</v>
      </c>
    </row>
    <row r="41" spans="1:18" ht="30">
      <c r="A41" s="1" t="s">
        <v>54</v>
      </c>
      <c r="B41" s="1" t="s">
        <v>54</v>
      </c>
      <c r="C41" s="1" t="s">
        <v>45</v>
      </c>
      <c r="D41" s="30">
        <v>730</v>
      </c>
      <c r="E41" s="1"/>
      <c r="F41" s="9" t="s">
        <v>106</v>
      </c>
      <c r="G41" s="105"/>
      <c r="H41" s="53" t="s">
        <v>104</v>
      </c>
      <c r="I41" s="1" t="s">
        <v>47</v>
      </c>
      <c r="J41" s="1" t="s">
        <v>47</v>
      </c>
      <c r="K41" s="1"/>
      <c r="L41" s="1" t="s">
        <v>47</v>
      </c>
      <c r="M41" s="1" t="s">
        <v>19</v>
      </c>
      <c r="N41" s="40"/>
      <c r="O41" s="32" t="s">
        <v>19</v>
      </c>
      <c r="P41" s="8" t="s">
        <v>19</v>
      </c>
      <c r="Q41" s="10"/>
      <c r="R41" s="1" t="s">
        <v>19</v>
      </c>
    </row>
    <row r="42" spans="1:18" ht="90">
      <c r="A42" s="1" t="s">
        <v>54</v>
      </c>
      <c r="B42" s="1" t="s">
        <v>54</v>
      </c>
      <c r="C42" s="1" t="s">
        <v>107</v>
      </c>
      <c r="D42" s="30">
        <v>510</v>
      </c>
      <c r="E42" s="1"/>
      <c r="F42" s="55" t="s">
        <v>108</v>
      </c>
      <c r="G42" s="76"/>
      <c r="I42" s="1" t="s">
        <v>19</v>
      </c>
      <c r="J42" s="1" t="s">
        <v>47</v>
      </c>
      <c r="K42" s="1"/>
      <c r="L42" s="1"/>
      <c r="M42" s="1" t="s">
        <v>47</v>
      </c>
      <c r="N42" s="40" t="s">
        <v>19</v>
      </c>
      <c r="O42" s="32" t="s">
        <v>19</v>
      </c>
      <c r="P42" s="8" t="s">
        <v>19</v>
      </c>
      <c r="Q42" s="10" t="s">
        <v>19</v>
      </c>
      <c r="R42" s="1"/>
    </row>
    <row r="43" spans="1:18" ht="30">
      <c r="A43" s="1" t="s">
        <v>54</v>
      </c>
      <c r="B43" s="1" t="s">
        <v>54</v>
      </c>
      <c r="C43" s="1" t="s">
        <v>107</v>
      </c>
      <c r="D43" s="30">
        <v>515</v>
      </c>
      <c r="E43" s="1"/>
      <c r="F43" s="49" t="s">
        <v>109</v>
      </c>
      <c r="G43" s="77"/>
      <c r="H43" s="1"/>
      <c r="I43" s="1" t="s">
        <v>19</v>
      </c>
      <c r="J43" s="1"/>
      <c r="K43" s="1"/>
      <c r="L43" s="1"/>
      <c r="M43" s="1"/>
      <c r="N43" s="40" t="s">
        <v>19</v>
      </c>
      <c r="O43" s="32" t="s">
        <v>19</v>
      </c>
      <c r="P43" s="8" t="s">
        <v>19</v>
      </c>
      <c r="Q43" s="10" t="s">
        <v>19</v>
      </c>
      <c r="R43" s="1" t="s">
        <v>19</v>
      </c>
    </row>
    <row r="44" spans="1:18" ht="68.25" customHeight="1">
      <c r="A44" s="62" t="s">
        <v>54</v>
      </c>
      <c r="B44" s="62" t="s">
        <v>54</v>
      </c>
      <c r="C44" s="62" t="s">
        <v>110</v>
      </c>
      <c r="D44" s="63">
        <v>601</v>
      </c>
      <c r="E44" s="62"/>
      <c r="F44" s="64" t="s">
        <v>111</v>
      </c>
      <c r="G44" s="65">
        <v>45243</v>
      </c>
      <c r="H44" s="62" t="s">
        <v>112</v>
      </c>
      <c r="I44" s="1"/>
      <c r="J44" s="1" t="s">
        <v>47</v>
      </c>
      <c r="K44" s="1"/>
      <c r="L44" s="1" t="s">
        <v>19</v>
      </c>
      <c r="M44" s="1" t="s">
        <v>19</v>
      </c>
      <c r="N44" s="40" t="s">
        <v>19</v>
      </c>
      <c r="O44" s="32"/>
      <c r="P44" s="8"/>
      <c r="Q44" s="10"/>
      <c r="R44" s="1" t="s">
        <v>19</v>
      </c>
    </row>
    <row r="45" spans="1:18" ht="30">
      <c r="A45" s="62" t="s">
        <v>113</v>
      </c>
      <c r="B45" s="62" t="s">
        <v>113</v>
      </c>
      <c r="C45" s="62" t="s">
        <v>110</v>
      </c>
      <c r="D45" s="63">
        <v>606</v>
      </c>
      <c r="E45" s="62"/>
      <c r="F45" s="64" t="s">
        <v>114</v>
      </c>
      <c r="G45" s="65">
        <v>45250</v>
      </c>
      <c r="H45" s="62" t="s">
        <v>115</v>
      </c>
      <c r="I45" s="1"/>
      <c r="J45" s="1" t="s">
        <v>47</v>
      </c>
      <c r="K45" s="1"/>
      <c r="L45" s="1" t="s">
        <v>19</v>
      </c>
      <c r="M45" s="1" t="s">
        <v>47</v>
      </c>
      <c r="N45" s="40" t="s">
        <v>19</v>
      </c>
      <c r="O45" s="32"/>
      <c r="P45" s="8"/>
      <c r="Q45" s="10"/>
      <c r="R45" s="1" t="s">
        <v>19</v>
      </c>
    </row>
    <row r="46" spans="1:18" ht="81.75" customHeight="1">
      <c r="A46" s="62" t="s">
        <v>54</v>
      </c>
      <c r="B46" s="62" t="s">
        <v>54</v>
      </c>
      <c r="C46" s="62" t="s">
        <v>110</v>
      </c>
      <c r="D46" s="63">
        <v>602</v>
      </c>
      <c r="E46" s="62"/>
      <c r="F46" s="64" t="s">
        <v>116</v>
      </c>
      <c r="G46" s="65">
        <v>45216</v>
      </c>
      <c r="H46" s="62" t="s">
        <v>112</v>
      </c>
      <c r="I46" s="1"/>
      <c r="J46" s="1"/>
      <c r="K46" s="1"/>
      <c r="L46" s="1" t="s">
        <v>19</v>
      </c>
      <c r="M46" s="1"/>
      <c r="N46" s="40"/>
      <c r="O46" s="32"/>
      <c r="P46" s="8" t="s">
        <v>19</v>
      </c>
      <c r="Q46" s="10"/>
      <c r="R46" s="1" t="s">
        <v>19</v>
      </c>
    </row>
    <row r="47" spans="1:18" ht="53.25" customHeight="1">
      <c r="A47" s="62" t="s">
        <v>54</v>
      </c>
      <c r="B47" s="62" t="s">
        <v>54</v>
      </c>
      <c r="C47" s="62" t="s">
        <v>110</v>
      </c>
      <c r="D47" s="63">
        <v>603</v>
      </c>
      <c r="E47" s="62"/>
      <c r="F47" s="64" t="s">
        <v>117</v>
      </c>
      <c r="G47" s="65">
        <v>45218</v>
      </c>
      <c r="H47" s="62" t="s">
        <v>118</v>
      </c>
      <c r="I47" s="1"/>
      <c r="J47" s="1"/>
      <c r="K47" s="1"/>
      <c r="L47" s="1" t="s">
        <v>19</v>
      </c>
      <c r="M47" s="1"/>
      <c r="N47" s="40"/>
      <c r="O47" s="32" t="s">
        <v>19</v>
      </c>
      <c r="P47" s="8"/>
      <c r="Q47" s="10"/>
      <c r="R47" s="1" t="s">
        <v>19</v>
      </c>
    </row>
    <row r="48" spans="1:18" ht="30">
      <c r="A48" s="62" t="s">
        <v>113</v>
      </c>
      <c r="B48" s="62" t="s">
        <v>113</v>
      </c>
      <c r="C48" s="62" t="s">
        <v>110</v>
      </c>
      <c r="D48" s="63">
        <v>604</v>
      </c>
      <c r="E48" s="62"/>
      <c r="F48" s="64" t="s">
        <v>119</v>
      </c>
      <c r="G48" s="65">
        <v>45218</v>
      </c>
      <c r="H48" s="62"/>
      <c r="I48" s="1"/>
      <c r="J48" s="1"/>
      <c r="K48" s="1"/>
      <c r="L48" s="1" t="s">
        <v>19</v>
      </c>
      <c r="M48" s="1"/>
      <c r="N48" s="40"/>
      <c r="O48" s="32" t="s">
        <v>19</v>
      </c>
      <c r="P48" s="8"/>
      <c r="Q48" s="10"/>
      <c r="R48" s="1" t="s">
        <v>19</v>
      </c>
    </row>
    <row r="49" spans="1:18" ht="46.5" customHeight="1">
      <c r="A49" s="62" t="s">
        <v>113</v>
      </c>
      <c r="B49" s="62" t="s">
        <v>113</v>
      </c>
      <c r="C49" s="62" t="s">
        <v>110</v>
      </c>
      <c r="D49" s="63">
        <v>605</v>
      </c>
      <c r="E49" s="62"/>
      <c r="F49" s="64" t="s">
        <v>120</v>
      </c>
      <c r="G49" s="65">
        <v>45218</v>
      </c>
      <c r="H49" s="62" t="s">
        <v>121</v>
      </c>
      <c r="I49" s="1"/>
      <c r="J49" s="1"/>
      <c r="K49" s="1"/>
      <c r="L49" s="1" t="s">
        <v>19</v>
      </c>
      <c r="M49" s="1"/>
      <c r="N49" s="40"/>
      <c r="O49" s="32"/>
      <c r="P49" s="8" t="s">
        <v>19</v>
      </c>
      <c r="Q49" s="10"/>
      <c r="R49" s="1" t="s">
        <v>19</v>
      </c>
    </row>
    <row r="50" spans="1:18" ht="15.75" thickBot="1">
      <c r="N50">
        <f>COUNTA(N2:N49)</f>
        <v>18</v>
      </c>
      <c r="O50">
        <f>COUNTA(O2:O49)</f>
        <v>18</v>
      </c>
      <c r="P50">
        <f>COUNTA(P2:P49)</f>
        <v>19</v>
      </c>
      <c r="Q50">
        <f>COUNTA(Q2:Q49)</f>
        <v>17</v>
      </c>
    </row>
    <row r="51" spans="1:18">
      <c r="B51" s="69" t="s">
        <v>122</v>
      </c>
    </row>
    <row r="52" spans="1:18">
      <c r="B52" s="70" t="s">
        <v>123</v>
      </c>
    </row>
    <row r="53" spans="1:18" ht="15.75" thickBot="1">
      <c r="B53" s="71" t="s">
        <v>124</v>
      </c>
    </row>
  </sheetData>
  <mergeCells count="1">
    <mergeCell ref="G39:G41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E35B-4E72-4C6A-AC7C-E230ADA2A501}">
  <dimension ref="A1:O53"/>
  <sheetViews>
    <sheetView tabSelected="1" zoomScale="85" zoomScaleNormal="85" workbookViewId="0">
      <selection activeCell="O1" sqref="O1:O1048576"/>
    </sheetView>
  </sheetViews>
  <sheetFormatPr defaultColWidth="8.7109375" defaultRowHeight="15"/>
  <cols>
    <col min="2" max="2" width="21.7109375" customWidth="1"/>
    <col min="4" max="4" width="95.140625" customWidth="1"/>
    <col min="5" max="5" width="21.7109375" style="97" customWidth="1"/>
    <col min="6" max="6" width="29.7109375" customWidth="1"/>
  </cols>
  <sheetData>
    <row r="1" spans="1:15" ht="15.75" thickBot="1">
      <c r="A1" s="79" t="s">
        <v>1</v>
      </c>
      <c r="B1" s="79" t="s">
        <v>2</v>
      </c>
      <c r="C1" s="79" t="s">
        <v>3</v>
      </c>
      <c r="D1" s="79" t="s">
        <v>4</v>
      </c>
      <c r="E1" s="79" t="s">
        <v>125</v>
      </c>
      <c r="F1" s="79" t="s">
        <v>5</v>
      </c>
      <c r="G1" s="79" t="s">
        <v>6</v>
      </c>
      <c r="H1" s="79" t="s">
        <v>7</v>
      </c>
      <c r="I1" s="79" t="s">
        <v>8</v>
      </c>
      <c r="J1" s="79" t="s">
        <v>9</v>
      </c>
      <c r="K1" s="79" t="s">
        <v>10</v>
      </c>
      <c r="L1" s="90">
        <v>1</v>
      </c>
      <c r="M1" s="88">
        <v>2</v>
      </c>
      <c r="N1" s="92">
        <v>3</v>
      </c>
      <c r="O1" s="93">
        <v>4</v>
      </c>
    </row>
    <row r="2" spans="1:15" ht="30.75" hidden="1" thickBot="1">
      <c r="A2" s="78" t="s">
        <v>113</v>
      </c>
      <c r="B2" s="78" t="s">
        <v>110</v>
      </c>
      <c r="C2" s="80">
        <v>604</v>
      </c>
      <c r="D2" s="86" t="s">
        <v>119</v>
      </c>
      <c r="E2" s="94" t="s">
        <v>126</v>
      </c>
      <c r="F2" s="78"/>
      <c r="G2" s="78"/>
      <c r="H2" s="78"/>
      <c r="I2" s="78"/>
      <c r="J2" s="78" t="s">
        <v>19</v>
      </c>
      <c r="K2" s="78"/>
      <c r="L2" s="91" t="s">
        <v>127</v>
      </c>
      <c r="M2" s="89"/>
      <c r="N2" s="82"/>
      <c r="O2" s="83"/>
    </row>
    <row r="3" spans="1:15" ht="30.75" hidden="1" thickBot="1">
      <c r="A3" s="78" t="s">
        <v>113</v>
      </c>
      <c r="B3" s="78" t="s">
        <v>110</v>
      </c>
      <c r="C3" s="80">
        <v>605</v>
      </c>
      <c r="D3" s="86" t="s">
        <v>120</v>
      </c>
      <c r="E3" s="94" t="s">
        <v>126</v>
      </c>
      <c r="F3" s="78" t="s">
        <v>121</v>
      </c>
      <c r="G3" s="78"/>
      <c r="H3" s="78"/>
      <c r="I3" s="78"/>
      <c r="J3" s="78" t="s">
        <v>19</v>
      </c>
      <c r="K3" s="78"/>
      <c r="L3" s="91" t="s">
        <v>127</v>
      </c>
      <c r="M3" s="89" t="s">
        <v>127</v>
      </c>
      <c r="N3" s="82"/>
      <c r="O3" s="83"/>
    </row>
    <row r="4" spans="1:15" ht="60.75" hidden="1" thickBot="1">
      <c r="A4" s="78" t="s">
        <v>113</v>
      </c>
      <c r="B4" s="78" t="s">
        <v>110</v>
      </c>
      <c r="C4" s="80">
        <v>606</v>
      </c>
      <c r="D4" s="86" t="s">
        <v>114</v>
      </c>
      <c r="E4" s="94" t="s">
        <v>126</v>
      </c>
      <c r="F4" s="78" t="s">
        <v>115</v>
      </c>
      <c r="G4" s="78"/>
      <c r="H4" s="78" t="s">
        <v>47</v>
      </c>
      <c r="I4" s="78"/>
      <c r="J4" s="78" t="s">
        <v>19</v>
      </c>
      <c r="K4" s="78" t="s">
        <v>47</v>
      </c>
      <c r="L4" s="91" t="s">
        <v>127</v>
      </c>
      <c r="M4" s="89" t="s">
        <v>127</v>
      </c>
      <c r="N4" s="82"/>
      <c r="O4" s="83"/>
    </row>
    <row r="5" spans="1:15" ht="30.75" thickBot="1">
      <c r="A5" s="78" t="s">
        <v>128</v>
      </c>
      <c r="B5" s="78" t="s">
        <v>69</v>
      </c>
      <c r="C5" s="80">
        <v>680</v>
      </c>
      <c r="D5" s="82" t="s">
        <v>129</v>
      </c>
      <c r="E5" s="95">
        <v>45288</v>
      </c>
      <c r="F5" s="78" t="s">
        <v>130</v>
      </c>
      <c r="G5" s="78"/>
      <c r="H5" s="78"/>
      <c r="I5" s="78" t="s">
        <v>19</v>
      </c>
      <c r="J5" s="78"/>
      <c r="K5" s="78"/>
      <c r="L5" s="91"/>
      <c r="M5" s="89"/>
      <c r="N5" s="82"/>
      <c r="O5" s="83" t="s">
        <v>19</v>
      </c>
    </row>
    <row r="6" spans="1:15" ht="45.75" thickBot="1">
      <c r="A6" s="78" t="s">
        <v>128</v>
      </c>
      <c r="B6" s="78" t="s">
        <v>69</v>
      </c>
      <c r="C6" s="80">
        <v>690</v>
      </c>
      <c r="D6" s="82" t="s">
        <v>131</v>
      </c>
      <c r="E6" s="95">
        <v>45286</v>
      </c>
      <c r="F6" s="78"/>
      <c r="G6" s="78"/>
      <c r="H6" s="78"/>
      <c r="I6" s="78" t="s">
        <v>19</v>
      </c>
      <c r="J6" s="78"/>
      <c r="K6" s="78"/>
      <c r="L6" s="91"/>
      <c r="M6" s="89" t="s">
        <v>19</v>
      </c>
      <c r="N6" s="82"/>
      <c r="O6" s="83"/>
    </row>
    <row r="7" spans="1:15" ht="60.75" thickBot="1">
      <c r="A7" s="78" t="s">
        <v>128</v>
      </c>
      <c r="B7" s="78" t="s">
        <v>69</v>
      </c>
      <c r="C7" s="80">
        <v>840</v>
      </c>
      <c r="D7" s="82" t="s">
        <v>132</v>
      </c>
      <c r="E7" s="101"/>
      <c r="F7" s="78"/>
      <c r="G7" s="78"/>
      <c r="H7" s="78" t="s">
        <v>47</v>
      </c>
      <c r="I7" s="78" t="s">
        <v>19</v>
      </c>
      <c r="J7" s="78"/>
      <c r="K7" s="78" t="s">
        <v>47</v>
      </c>
      <c r="L7" s="91"/>
      <c r="M7" s="89"/>
      <c r="N7" s="82" t="s">
        <v>19</v>
      </c>
      <c r="O7" s="83"/>
    </row>
    <row r="8" spans="1:15" ht="45.75" thickBot="1">
      <c r="A8" s="78" t="s">
        <v>128</v>
      </c>
      <c r="B8" s="78" t="s">
        <v>69</v>
      </c>
      <c r="C8" s="80">
        <v>850</v>
      </c>
      <c r="D8" s="82" t="s">
        <v>133</v>
      </c>
      <c r="E8" s="95">
        <v>45286</v>
      </c>
      <c r="G8" s="78"/>
      <c r="H8" s="78"/>
      <c r="I8" s="78" t="s">
        <v>19</v>
      </c>
      <c r="J8" s="78"/>
      <c r="K8" s="78"/>
      <c r="L8" s="91" t="s">
        <v>19</v>
      </c>
      <c r="M8" s="89"/>
      <c r="N8" s="82"/>
      <c r="O8" s="83"/>
    </row>
    <row r="9" spans="1:15" ht="45.75" thickBot="1">
      <c r="A9" s="78" t="s">
        <v>128</v>
      </c>
      <c r="B9" s="78" t="s">
        <v>69</v>
      </c>
      <c r="C9" s="80">
        <v>860</v>
      </c>
      <c r="D9" s="82" t="s">
        <v>134</v>
      </c>
      <c r="E9" s="95">
        <v>45271</v>
      </c>
      <c r="F9" s="78"/>
      <c r="G9" s="78"/>
      <c r="H9" s="78"/>
      <c r="I9" s="78" t="s">
        <v>19</v>
      </c>
      <c r="J9" s="78"/>
      <c r="K9" s="78"/>
      <c r="L9" s="91"/>
      <c r="M9" s="89" t="s">
        <v>19</v>
      </c>
      <c r="N9" s="82"/>
      <c r="O9" s="83"/>
    </row>
    <row r="10" spans="1:15" ht="50.1" customHeight="1" thickBot="1">
      <c r="A10" s="78" t="s">
        <v>128</v>
      </c>
      <c r="B10" s="78" t="s">
        <v>69</v>
      </c>
      <c r="C10" s="80">
        <v>870</v>
      </c>
      <c r="D10" s="82" t="s">
        <v>135</v>
      </c>
      <c r="E10" s="101">
        <v>45284</v>
      </c>
      <c r="F10" s="78"/>
      <c r="G10" s="78"/>
      <c r="H10" s="78"/>
      <c r="I10" s="78" t="s">
        <v>19</v>
      </c>
      <c r="J10" s="78"/>
      <c r="K10" s="78"/>
      <c r="L10" s="91"/>
      <c r="M10" s="89"/>
      <c r="N10" s="82" t="s">
        <v>19</v>
      </c>
      <c r="O10" s="83"/>
    </row>
    <row r="11" spans="1:15" ht="30.75" thickBot="1">
      <c r="A11" s="78" t="s">
        <v>128</v>
      </c>
      <c r="B11" s="78" t="s">
        <v>69</v>
      </c>
      <c r="C11" s="80">
        <v>880</v>
      </c>
      <c r="D11" s="82" t="s">
        <v>136</v>
      </c>
      <c r="E11" s="95">
        <v>45268</v>
      </c>
      <c r="F11" s="78"/>
      <c r="G11" s="78"/>
      <c r="H11" s="78"/>
      <c r="I11" s="78" t="s">
        <v>19</v>
      </c>
      <c r="J11" s="78"/>
      <c r="K11" s="78"/>
      <c r="L11" s="91"/>
      <c r="M11" s="89"/>
      <c r="N11" s="82"/>
      <c r="O11" s="83" t="s">
        <v>19</v>
      </c>
    </row>
    <row r="12" spans="1:15" ht="30.75" thickBot="1">
      <c r="A12" s="78" t="s">
        <v>128</v>
      </c>
      <c r="B12" s="78" t="s">
        <v>69</v>
      </c>
      <c r="C12" s="80">
        <v>890</v>
      </c>
      <c r="D12" s="82" t="s">
        <v>137</v>
      </c>
      <c r="E12" s="95">
        <v>45288</v>
      </c>
      <c r="F12" s="78"/>
      <c r="G12" s="78"/>
      <c r="H12" s="78"/>
      <c r="I12" s="78" t="s">
        <v>19</v>
      </c>
      <c r="J12" s="78"/>
      <c r="K12" s="78"/>
      <c r="L12" s="91"/>
      <c r="M12" s="89"/>
      <c r="N12" s="82"/>
      <c r="O12" s="83" t="s">
        <v>19</v>
      </c>
    </row>
    <row r="13" spans="1:15" ht="30.75" thickBot="1">
      <c r="A13" s="78" t="s">
        <v>128</v>
      </c>
      <c r="B13" s="78" t="s">
        <v>69</v>
      </c>
      <c r="C13" s="80">
        <v>900</v>
      </c>
      <c r="D13" s="82" t="s">
        <v>138</v>
      </c>
      <c r="E13" s="95">
        <v>45267</v>
      </c>
      <c r="G13" s="78"/>
      <c r="H13" s="78"/>
      <c r="I13" s="78" t="s">
        <v>19</v>
      </c>
      <c r="J13" s="78"/>
      <c r="K13" s="78"/>
      <c r="L13" s="91" t="s">
        <v>19</v>
      </c>
      <c r="M13" s="89"/>
      <c r="N13" s="82"/>
      <c r="O13" s="83"/>
    </row>
    <row r="14" spans="1:15" ht="30.75" thickBot="1">
      <c r="A14" s="78" t="s">
        <v>128</v>
      </c>
      <c r="B14" s="78" t="s">
        <v>69</v>
      </c>
      <c r="C14" s="80">
        <v>910</v>
      </c>
      <c r="D14" s="82" t="s">
        <v>139</v>
      </c>
      <c r="E14" s="95">
        <v>45271</v>
      </c>
      <c r="F14" s="78"/>
      <c r="G14" s="78"/>
      <c r="H14" s="78"/>
      <c r="I14" s="78" t="s">
        <v>19</v>
      </c>
      <c r="J14" s="78"/>
      <c r="K14" s="78"/>
      <c r="L14" s="91"/>
      <c r="M14" s="89"/>
      <c r="N14" s="82" t="s">
        <v>19</v>
      </c>
      <c r="O14" s="83"/>
    </row>
    <row r="15" spans="1:15" ht="30.75" thickBot="1">
      <c r="A15" s="78" t="s">
        <v>128</v>
      </c>
      <c r="B15" s="78" t="s">
        <v>69</v>
      </c>
      <c r="C15" s="80">
        <v>920</v>
      </c>
      <c r="D15" s="82" t="s">
        <v>140</v>
      </c>
      <c r="E15" s="95">
        <v>45286</v>
      </c>
      <c r="G15" s="78"/>
      <c r="H15" s="78"/>
      <c r="I15" s="78" t="s">
        <v>19</v>
      </c>
      <c r="J15" s="78"/>
      <c r="K15" s="78"/>
      <c r="L15" s="91" t="s">
        <v>19</v>
      </c>
      <c r="M15" s="89"/>
      <c r="N15" s="82"/>
      <c r="O15" s="83"/>
    </row>
    <row r="16" spans="1:15" ht="65.25" customHeight="1" thickBot="1">
      <c r="A16" s="78" t="s">
        <v>128</v>
      </c>
      <c r="B16" s="78" t="s">
        <v>69</v>
      </c>
      <c r="C16" s="80">
        <v>930</v>
      </c>
      <c r="D16" s="82" t="s">
        <v>141</v>
      </c>
      <c r="E16" s="95">
        <v>45286</v>
      </c>
      <c r="F16" s="98"/>
      <c r="G16" s="78"/>
      <c r="H16" s="78"/>
      <c r="I16" s="78" t="s">
        <v>19</v>
      </c>
      <c r="J16" s="78"/>
      <c r="K16" s="78"/>
      <c r="L16" s="91"/>
      <c r="M16" s="89" t="s">
        <v>19</v>
      </c>
      <c r="N16" s="82"/>
      <c r="O16" s="83"/>
    </row>
    <row r="17" spans="1:15" ht="78.75" customHeight="1" thickBot="1">
      <c r="A17" s="78" t="s">
        <v>128</v>
      </c>
      <c r="B17" s="78" t="s">
        <v>92</v>
      </c>
      <c r="C17" s="80">
        <v>460</v>
      </c>
      <c r="D17" s="81" t="s">
        <v>142</v>
      </c>
      <c r="E17" s="95">
        <v>45286</v>
      </c>
      <c r="F17" s="78"/>
      <c r="G17" s="78"/>
      <c r="H17" s="78" t="s">
        <v>19</v>
      </c>
      <c r="I17" s="78"/>
      <c r="J17" s="78"/>
      <c r="K17" s="78" t="s">
        <v>47</v>
      </c>
      <c r="L17" s="91" t="s">
        <v>19</v>
      </c>
      <c r="M17" s="89" t="s">
        <v>19</v>
      </c>
      <c r="N17" s="82"/>
      <c r="O17" s="83"/>
    </row>
    <row r="18" spans="1:15" ht="15.75" thickBot="1">
      <c r="A18" s="78" t="s">
        <v>128</v>
      </c>
      <c r="B18" s="78" t="s">
        <v>92</v>
      </c>
      <c r="C18" s="80">
        <v>470</v>
      </c>
      <c r="D18" s="81" t="s">
        <v>143</v>
      </c>
      <c r="E18" s="95">
        <v>45282</v>
      </c>
      <c r="F18" s="78" t="s">
        <v>144</v>
      </c>
      <c r="G18" s="78"/>
      <c r="H18" s="78" t="s">
        <v>19</v>
      </c>
      <c r="I18" s="78"/>
      <c r="J18" s="78"/>
      <c r="K18" s="78" t="s">
        <v>47</v>
      </c>
      <c r="L18" s="91"/>
      <c r="M18" s="89"/>
      <c r="N18" s="82" t="s">
        <v>19</v>
      </c>
      <c r="O18" s="83" t="s">
        <v>19</v>
      </c>
    </row>
    <row r="19" spans="1:15" thickBot="1">
      <c r="A19" s="78" t="s">
        <v>128</v>
      </c>
      <c r="B19" s="78" t="s">
        <v>92</v>
      </c>
      <c r="C19" s="80">
        <v>480</v>
      </c>
      <c r="D19" s="81" t="s">
        <v>145</v>
      </c>
      <c r="E19" s="95">
        <v>45286</v>
      </c>
      <c r="F19" s="78"/>
      <c r="G19" s="78"/>
      <c r="H19" s="78" t="s">
        <v>19</v>
      </c>
      <c r="I19" s="78"/>
      <c r="J19" s="78"/>
      <c r="K19" s="78"/>
      <c r="L19" s="91"/>
      <c r="M19" s="89" t="s">
        <v>19</v>
      </c>
      <c r="N19" s="82"/>
      <c r="O19" s="83" t="s">
        <v>19</v>
      </c>
    </row>
    <row r="20" spans="1:15" ht="48" customHeight="1" thickBot="1">
      <c r="A20" s="78" t="s">
        <v>128</v>
      </c>
      <c r="B20" s="78" t="s">
        <v>92</v>
      </c>
      <c r="C20" s="80">
        <v>490</v>
      </c>
      <c r="D20" s="81" t="s">
        <v>146</v>
      </c>
      <c r="E20" s="95">
        <v>45286</v>
      </c>
      <c r="F20" s="78"/>
      <c r="G20" s="78"/>
      <c r="H20" s="78" t="s">
        <v>19</v>
      </c>
      <c r="I20" s="78"/>
      <c r="J20" s="78"/>
      <c r="K20" s="78"/>
      <c r="L20" s="91" t="s">
        <v>19</v>
      </c>
      <c r="M20" s="89"/>
      <c r="N20" s="82" t="s">
        <v>19</v>
      </c>
      <c r="O20" s="83"/>
    </row>
    <row r="21" spans="1:15" ht="15.75" thickBot="1">
      <c r="A21" s="78" t="s">
        <v>128</v>
      </c>
      <c r="B21" s="78" t="s">
        <v>92</v>
      </c>
      <c r="C21" s="80">
        <v>500</v>
      </c>
      <c r="D21" s="81" t="s">
        <v>147</v>
      </c>
      <c r="E21" s="95">
        <v>45286</v>
      </c>
      <c r="F21" s="78"/>
      <c r="G21" s="78" t="s">
        <v>47</v>
      </c>
      <c r="H21" s="78" t="s">
        <v>19</v>
      </c>
      <c r="I21" s="78"/>
      <c r="J21" s="78"/>
      <c r="K21" s="78" t="s">
        <v>47</v>
      </c>
      <c r="L21" s="91"/>
      <c r="M21" s="89" t="s">
        <v>19</v>
      </c>
      <c r="N21" s="82" t="s">
        <v>19</v>
      </c>
      <c r="O21" s="83"/>
    </row>
    <row r="22" spans="1:15" ht="30.75" thickBot="1">
      <c r="A22" s="78" t="s">
        <v>128</v>
      </c>
      <c r="B22" s="78" t="s">
        <v>95</v>
      </c>
      <c r="C22" s="80">
        <v>10</v>
      </c>
      <c r="D22" s="81" t="s">
        <v>148</v>
      </c>
      <c r="E22" s="95" t="s">
        <v>149</v>
      </c>
      <c r="G22" s="78"/>
      <c r="H22" s="78" t="s">
        <v>19</v>
      </c>
      <c r="I22" s="78"/>
      <c r="J22" s="78"/>
      <c r="K22" s="78" t="s">
        <v>47</v>
      </c>
      <c r="L22" s="91"/>
      <c r="M22" s="89"/>
      <c r="N22" s="82" t="s">
        <v>19</v>
      </c>
      <c r="O22" s="83" t="s">
        <v>19</v>
      </c>
    </row>
    <row r="23" spans="1:15" ht="30.75" thickBot="1">
      <c r="A23" s="78" t="s">
        <v>128</v>
      </c>
      <c r="B23" s="78" t="s">
        <v>95</v>
      </c>
      <c r="C23" s="80">
        <v>20</v>
      </c>
      <c r="D23" s="87" t="s">
        <v>150</v>
      </c>
      <c r="E23" s="95" t="s">
        <v>149</v>
      </c>
      <c r="F23" s="78"/>
      <c r="G23" s="78"/>
      <c r="H23" s="78" t="s">
        <v>47</v>
      </c>
      <c r="I23" s="78"/>
      <c r="J23" s="78"/>
      <c r="K23" s="78" t="s">
        <v>19</v>
      </c>
      <c r="L23" s="91"/>
      <c r="M23" s="89"/>
      <c r="N23" s="82" t="s">
        <v>19</v>
      </c>
      <c r="O23" s="83" t="s">
        <v>19</v>
      </c>
    </row>
    <row r="24" spans="1:15" ht="32.1" customHeight="1" thickBot="1">
      <c r="A24" s="78" t="s">
        <v>128</v>
      </c>
      <c r="B24" s="78" t="s">
        <v>95</v>
      </c>
      <c r="C24" s="80">
        <v>30</v>
      </c>
      <c r="D24" s="87" t="s">
        <v>151</v>
      </c>
      <c r="E24" s="100">
        <v>45285</v>
      </c>
      <c r="F24" s="102" t="s">
        <v>152</v>
      </c>
      <c r="G24" s="78"/>
      <c r="H24" s="78" t="s">
        <v>47</v>
      </c>
      <c r="I24" s="78"/>
      <c r="J24" s="78"/>
      <c r="K24" s="78" t="s">
        <v>19</v>
      </c>
      <c r="L24" s="91"/>
      <c r="M24" s="89"/>
      <c r="N24" s="82" t="s">
        <v>19</v>
      </c>
      <c r="O24" s="83" t="s">
        <v>19</v>
      </c>
    </row>
    <row r="25" spans="1:15" ht="30.75" thickBot="1">
      <c r="A25" s="78" t="s">
        <v>128</v>
      </c>
      <c r="B25" s="78" t="s">
        <v>95</v>
      </c>
      <c r="C25" s="80">
        <v>40</v>
      </c>
      <c r="D25" s="87" t="s">
        <v>153</v>
      </c>
      <c r="E25" s="100">
        <v>45282</v>
      </c>
      <c r="F25" s="78"/>
      <c r="G25" s="78"/>
      <c r="H25" s="78" t="s">
        <v>47</v>
      </c>
      <c r="I25" s="78"/>
      <c r="J25" s="78"/>
      <c r="K25" s="78" t="s">
        <v>19</v>
      </c>
      <c r="L25" s="91" t="s">
        <v>19</v>
      </c>
      <c r="M25" s="89" t="s">
        <v>19</v>
      </c>
      <c r="N25" s="82"/>
      <c r="O25" s="83"/>
    </row>
    <row r="26" spans="1:15" ht="30.75" thickBot="1">
      <c r="A26" s="78" t="s">
        <v>128</v>
      </c>
      <c r="B26" s="78" t="s">
        <v>95</v>
      </c>
      <c r="C26" s="80">
        <v>50</v>
      </c>
      <c r="D26" s="87" t="s">
        <v>154</v>
      </c>
      <c r="E26" s="100">
        <v>45282</v>
      </c>
      <c r="F26" s="78"/>
      <c r="G26" s="78"/>
      <c r="H26" s="78" t="s">
        <v>47</v>
      </c>
      <c r="I26" s="78"/>
      <c r="J26" s="78"/>
      <c r="K26" s="78" t="s">
        <v>19</v>
      </c>
      <c r="L26" s="91" t="s">
        <v>19</v>
      </c>
      <c r="M26" s="89" t="s">
        <v>19</v>
      </c>
      <c r="N26" s="82"/>
      <c r="O26" s="83"/>
    </row>
    <row r="27" spans="1:15" ht="30.75" thickBot="1">
      <c r="A27" s="78" t="s">
        <v>128</v>
      </c>
      <c r="B27" s="78" t="s">
        <v>95</v>
      </c>
      <c r="C27" s="80">
        <v>60</v>
      </c>
      <c r="D27" s="87" t="s">
        <v>155</v>
      </c>
      <c r="E27" s="100">
        <v>45282</v>
      </c>
      <c r="F27" s="78"/>
      <c r="G27" s="78"/>
      <c r="H27" s="78" t="s">
        <v>47</v>
      </c>
      <c r="I27" s="78"/>
      <c r="J27" s="78"/>
      <c r="K27" s="78" t="s">
        <v>19</v>
      </c>
      <c r="L27" s="91" t="s">
        <v>19</v>
      </c>
      <c r="M27" s="89" t="s">
        <v>19</v>
      </c>
      <c r="N27" s="82"/>
      <c r="O27" s="83"/>
    </row>
    <row r="28" spans="1:15" ht="30.75" thickBot="1">
      <c r="A28" s="78" t="s">
        <v>128</v>
      </c>
      <c r="B28" s="78" t="s">
        <v>95</v>
      </c>
      <c r="C28" s="80">
        <v>70</v>
      </c>
      <c r="D28" s="87" t="s">
        <v>156</v>
      </c>
      <c r="E28" s="100">
        <v>45282</v>
      </c>
      <c r="F28" s="78"/>
      <c r="G28" s="78"/>
      <c r="H28" s="78" t="s">
        <v>47</v>
      </c>
      <c r="I28" s="78"/>
      <c r="J28" s="78"/>
      <c r="K28" s="78" t="s">
        <v>19</v>
      </c>
      <c r="L28" s="91" t="s">
        <v>19</v>
      </c>
      <c r="M28" s="89" t="s">
        <v>19</v>
      </c>
      <c r="N28" s="82"/>
      <c r="O28" s="83"/>
    </row>
    <row r="29" spans="1:15" ht="30.75" thickBot="1">
      <c r="A29" s="78" t="s">
        <v>128</v>
      </c>
      <c r="B29" s="78" t="s">
        <v>95</v>
      </c>
      <c r="C29" s="80">
        <v>80</v>
      </c>
      <c r="D29" s="81" t="s">
        <v>157</v>
      </c>
      <c r="E29" s="95">
        <v>45286</v>
      </c>
      <c r="G29" s="78"/>
      <c r="H29" s="78" t="s">
        <v>19</v>
      </c>
      <c r="I29" s="78"/>
      <c r="J29" s="78"/>
      <c r="K29" s="78" t="s">
        <v>47</v>
      </c>
      <c r="L29" s="91" t="s">
        <v>19</v>
      </c>
      <c r="M29" s="89" t="s">
        <v>19</v>
      </c>
      <c r="N29" s="82"/>
      <c r="O29" s="83"/>
    </row>
    <row r="30" spans="1:15" ht="30.75" thickBot="1">
      <c r="A30" s="78" t="s">
        <v>128</v>
      </c>
      <c r="B30" s="78" t="s">
        <v>95</v>
      </c>
      <c r="C30" s="80">
        <v>100</v>
      </c>
      <c r="D30" s="87" t="s">
        <v>158</v>
      </c>
      <c r="E30" s="100">
        <v>45282</v>
      </c>
      <c r="F30" s="78"/>
      <c r="G30" s="78"/>
      <c r="H30" s="78" t="s">
        <v>47</v>
      </c>
      <c r="I30" s="78"/>
      <c r="J30" s="78"/>
      <c r="K30" s="78" t="s">
        <v>19</v>
      </c>
      <c r="L30" s="91"/>
      <c r="M30" s="89" t="s">
        <v>19</v>
      </c>
      <c r="N30" s="82"/>
      <c r="O30" s="83"/>
    </row>
    <row r="31" spans="1:15" ht="30.75" thickBot="1">
      <c r="A31" s="78" t="s">
        <v>128</v>
      </c>
      <c r="B31" s="78" t="s">
        <v>95</v>
      </c>
      <c r="C31" s="80">
        <v>110</v>
      </c>
      <c r="D31" s="87" t="s">
        <v>159</v>
      </c>
      <c r="E31" s="100">
        <v>45286</v>
      </c>
      <c r="F31" s="78" t="s">
        <v>160</v>
      </c>
      <c r="G31" s="78"/>
      <c r="H31" s="78" t="s">
        <v>47</v>
      </c>
      <c r="I31" s="78"/>
      <c r="J31" s="78"/>
      <c r="K31" s="78" t="s">
        <v>19</v>
      </c>
      <c r="L31" s="91"/>
      <c r="M31" s="89"/>
      <c r="N31" s="82" t="s">
        <v>19</v>
      </c>
      <c r="O31" s="83"/>
    </row>
    <row r="32" spans="1:15" ht="30.75" thickBot="1">
      <c r="A32" s="78" t="s">
        <v>128</v>
      </c>
      <c r="B32" s="78" t="s">
        <v>95</v>
      </c>
      <c r="C32" s="80">
        <v>120</v>
      </c>
      <c r="D32" s="87" t="s">
        <v>161</v>
      </c>
      <c r="E32" s="100">
        <v>45286</v>
      </c>
      <c r="F32" s="78"/>
      <c r="G32" s="78"/>
      <c r="H32" s="78" t="s">
        <v>47</v>
      </c>
      <c r="I32" s="78"/>
      <c r="J32" s="78"/>
      <c r="K32" s="78" t="s">
        <v>19</v>
      </c>
      <c r="L32" s="91"/>
      <c r="M32" s="89"/>
      <c r="N32" s="82"/>
      <c r="O32" s="83" t="s">
        <v>19</v>
      </c>
    </row>
    <row r="33" spans="1:15" ht="30.75" thickBot="1">
      <c r="A33" s="78" t="s">
        <v>128</v>
      </c>
      <c r="B33" s="78" t="s">
        <v>95</v>
      </c>
      <c r="C33" s="80">
        <v>1300</v>
      </c>
      <c r="D33" s="87" t="s">
        <v>162</v>
      </c>
      <c r="E33" s="100">
        <v>45286</v>
      </c>
      <c r="F33" s="78" t="s">
        <v>163</v>
      </c>
      <c r="G33" s="78"/>
      <c r="H33" s="78" t="s">
        <v>47</v>
      </c>
      <c r="I33" s="78"/>
      <c r="J33" s="78"/>
      <c r="K33" s="78" t="s">
        <v>19</v>
      </c>
      <c r="L33" s="91" t="s">
        <v>19</v>
      </c>
      <c r="M33" s="89"/>
      <c r="N33" s="82"/>
      <c r="O33" s="83"/>
    </row>
    <row r="34" spans="1:15" ht="30.75" thickBot="1">
      <c r="A34" s="78" t="s">
        <v>128</v>
      </c>
      <c r="B34" s="78" t="s">
        <v>95</v>
      </c>
      <c r="C34" s="80">
        <v>1310</v>
      </c>
      <c r="D34" s="87" t="s">
        <v>164</v>
      </c>
      <c r="E34" s="100">
        <v>45286</v>
      </c>
      <c r="F34" s="78"/>
      <c r="G34" s="78"/>
      <c r="H34" s="78" t="s">
        <v>47</v>
      </c>
      <c r="I34" s="78"/>
      <c r="J34" s="78"/>
      <c r="K34" s="78" t="s">
        <v>19</v>
      </c>
      <c r="L34" s="91" t="s">
        <v>19</v>
      </c>
      <c r="M34" s="89" t="s">
        <v>19</v>
      </c>
      <c r="N34" s="82"/>
      <c r="O34" s="83"/>
    </row>
    <row r="35" spans="1:15" ht="30.75" thickBot="1">
      <c r="A35" s="78" t="s">
        <v>128</v>
      </c>
      <c r="B35" s="78" t="s">
        <v>95</v>
      </c>
      <c r="C35" s="80">
        <v>1320</v>
      </c>
      <c r="D35" s="87" t="s">
        <v>165</v>
      </c>
      <c r="E35" s="99"/>
      <c r="F35" s="78"/>
      <c r="G35" s="78"/>
      <c r="H35" s="78" t="s">
        <v>47</v>
      </c>
      <c r="I35" s="78"/>
      <c r="J35" s="78"/>
      <c r="K35" s="78" t="s">
        <v>19</v>
      </c>
      <c r="L35" s="91"/>
      <c r="M35" s="89"/>
      <c r="N35" s="82" t="s">
        <v>19</v>
      </c>
      <c r="O35" s="83" t="s">
        <v>19</v>
      </c>
    </row>
    <row r="36" spans="1:15" ht="30.75" thickBot="1">
      <c r="A36" s="78" t="s">
        <v>128</v>
      </c>
      <c r="B36" s="78" t="s">
        <v>45</v>
      </c>
      <c r="C36" s="80">
        <v>720</v>
      </c>
      <c r="D36" s="85" t="s">
        <v>166</v>
      </c>
      <c r="E36" s="99"/>
      <c r="F36" s="78"/>
      <c r="G36" s="78" t="s">
        <v>47</v>
      </c>
      <c r="H36" s="78" t="s">
        <v>47</v>
      </c>
      <c r="I36" s="78"/>
      <c r="J36" s="78"/>
      <c r="K36" s="78" t="s">
        <v>19</v>
      </c>
      <c r="L36" s="91" t="s">
        <v>19</v>
      </c>
      <c r="M36" s="89" t="s">
        <v>19</v>
      </c>
      <c r="N36" s="82" t="s">
        <v>19</v>
      </c>
      <c r="O36" s="83" t="s">
        <v>19</v>
      </c>
    </row>
    <row r="37" spans="1:15" ht="30.75" thickBot="1">
      <c r="A37" s="78" t="s">
        <v>128</v>
      </c>
      <c r="B37" s="78" t="s">
        <v>45</v>
      </c>
      <c r="C37" s="80">
        <v>740</v>
      </c>
      <c r="D37" s="85" t="s">
        <v>167</v>
      </c>
      <c r="E37" s="99"/>
      <c r="F37" s="78"/>
      <c r="G37" s="78" t="s">
        <v>47</v>
      </c>
      <c r="H37" s="78"/>
      <c r="I37" s="78"/>
      <c r="J37" s="78" t="s">
        <v>47</v>
      </c>
      <c r="K37" s="78" t="s">
        <v>19</v>
      </c>
      <c r="L37" s="91" t="s">
        <v>19</v>
      </c>
      <c r="M37" s="89" t="s">
        <v>19</v>
      </c>
      <c r="N37" s="82" t="s">
        <v>19</v>
      </c>
      <c r="O37" s="83" t="s">
        <v>19</v>
      </c>
    </row>
    <row r="38" spans="1:15" ht="30.75" thickBot="1">
      <c r="A38" s="78" t="s">
        <v>128</v>
      </c>
      <c r="B38" s="78" t="s">
        <v>45</v>
      </c>
      <c r="C38" s="80">
        <v>750</v>
      </c>
      <c r="D38" s="85" t="s">
        <v>168</v>
      </c>
      <c r="E38" s="95">
        <v>45285</v>
      </c>
      <c r="F38" s="78" t="s">
        <v>169</v>
      </c>
      <c r="G38" s="78"/>
      <c r="H38" s="78" t="s">
        <v>47</v>
      </c>
      <c r="I38" s="78"/>
      <c r="J38" s="78"/>
      <c r="K38" s="78" t="s">
        <v>19</v>
      </c>
      <c r="L38" s="91" t="s">
        <v>19</v>
      </c>
      <c r="M38" s="89" t="s">
        <v>19</v>
      </c>
      <c r="N38" s="82" t="s">
        <v>19</v>
      </c>
      <c r="O38" s="83" t="s">
        <v>19</v>
      </c>
    </row>
    <row r="39" spans="1:15" ht="105.75" thickBot="1">
      <c r="A39" s="78" t="s">
        <v>128</v>
      </c>
      <c r="B39" s="78" t="s">
        <v>107</v>
      </c>
      <c r="C39" s="80">
        <v>1410</v>
      </c>
      <c r="D39" s="84" t="s">
        <v>170</v>
      </c>
      <c r="E39" s="100" t="s">
        <v>171</v>
      </c>
      <c r="F39" s="78" t="s">
        <v>172</v>
      </c>
      <c r="G39" s="78" t="s">
        <v>19</v>
      </c>
      <c r="H39" s="78" t="s">
        <v>47</v>
      </c>
      <c r="I39" s="78"/>
      <c r="J39" s="78"/>
      <c r="K39" s="78"/>
      <c r="L39" s="91"/>
      <c r="M39" s="89" t="s">
        <v>19</v>
      </c>
      <c r="N39" s="82" t="s">
        <v>19</v>
      </c>
      <c r="O39" s="83"/>
    </row>
    <row r="40" spans="1:15" ht="30.75" thickBot="1">
      <c r="A40" s="78" t="s">
        <v>128</v>
      </c>
      <c r="B40" s="78" t="s">
        <v>107</v>
      </c>
      <c r="C40" s="80">
        <v>1420</v>
      </c>
      <c r="D40" s="84" t="s">
        <v>173</v>
      </c>
      <c r="E40" s="95">
        <v>45281</v>
      </c>
      <c r="F40" s="78"/>
      <c r="G40" s="78" t="s">
        <v>19</v>
      </c>
      <c r="H40" s="78"/>
      <c r="I40" s="78"/>
      <c r="J40" s="78"/>
      <c r="K40" s="78"/>
      <c r="L40" s="91" t="s">
        <v>19</v>
      </c>
      <c r="M40" s="89"/>
      <c r="N40" s="82"/>
      <c r="O40" s="83" t="s">
        <v>19</v>
      </c>
    </row>
    <row r="41" spans="1:15" ht="30.75" thickBot="1">
      <c r="A41" s="78" t="s">
        <v>128</v>
      </c>
      <c r="B41" s="78" t="s">
        <v>107</v>
      </c>
      <c r="C41" s="80">
        <v>1430</v>
      </c>
      <c r="D41" s="84" t="s">
        <v>174</v>
      </c>
      <c r="E41" s="95">
        <v>45281</v>
      </c>
      <c r="F41" s="78"/>
      <c r="G41" s="78" t="s">
        <v>19</v>
      </c>
      <c r="H41" s="78" t="s">
        <v>47</v>
      </c>
      <c r="I41" s="78"/>
      <c r="J41" s="78"/>
      <c r="K41" s="78"/>
      <c r="L41" s="91" t="s">
        <v>19</v>
      </c>
      <c r="M41" s="89"/>
      <c r="N41" s="82"/>
      <c r="O41" s="83" t="s">
        <v>19</v>
      </c>
    </row>
    <row r="42" spans="1:15" ht="45.75" thickBot="1">
      <c r="A42" s="78" t="s">
        <v>128</v>
      </c>
      <c r="B42" s="78" t="s">
        <v>107</v>
      </c>
      <c r="C42" s="80">
        <v>1440</v>
      </c>
      <c r="D42" s="84" t="s">
        <v>175</v>
      </c>
      <c r="E42" s="100">
        <v>45288</v>
      </c>
      <c r="F42" s="78"/>
      <c r="G42" s="78" t="s">
        <v>19</v>
      </c>
      <c r="H42" s="78"/>
      <c r="I42" s="78"/>
      <c r="J42" s="78"/>
      <c r="K42" s="78"/>
      <c r="L42" s="91"/>
      <c r="M42" s="89" t="s">
        <v>19</v>
      </c>
      <c r="N42" s="82" t="s">
        <v>19</v>
      </c>
      <c r="O42" s="83"/>
    </row>
    <row r="43" spans="1:15" ht="30.75" thickBot="1">
      <c r="A43" s="78" t="s">
        <v>128</v>
      </c>
      <c r="B43" s="78" t="s">
        <v>110</v>
      </c>
      <c r="C43" s="80">
        <v>607</v>
      </c>
      <c r="D43" s="83" t="s">
        <v>176</v>
      </c>
      <c r="E43" s="95">
        <v>45264</v>
      </c>
      <c r="F43" s="78"/>
      <c r="G43" s="78"/>
      <c r="H43" s="78" t="s">
        <v>47</v>
      </c>
      <c r="I43" s="78"/>
      <c r="J43" s="78" t="s">
        <v>19</v>
      </c>
      <c r="K43" s="78" t="s">
        <v>47</v>
      </c>
      <c r="L43" s="91"/>
      <c r="M43" s="89" t="s">
        <v>19</v>
      </c>
      <c r="N43" s="82"/>
      <c r="O43" s="83"/>
    </row>
    <row r="44" spans="1:15" ht="30.75" thickBot="1">
      <c r="A44" s="78" t="s">
        <v>128</v>
      </c>
      <c r="B44" s="78" t="s">
        <v>110</v>
      </c>
      <c r="C44" s="80">
        <v>608</v>
      </c>
      <c r="D44" s="83" t="s">
        <v>177</v>
      </c>
      <c r="E44" s="95">
        <v>45264</v>
      </c>
      <c r="F44" s="78"/>
      <c r="G44" s="78"/>
      <c r="H44" s="78" t="s">
        <v>47</v>
      </c>
      <c r="I44" s="78"/>
      <c r="J44" s="78" t="s">
        <v>19</v>
      </c>
      <c r="K44" s="78" t="s">
        <v>47</v>
      </c>
      <c r="L44" s="91"/>
      <c r="M44" s="89"/>
      <c r="N44" s="82" t="s">
        <v>19</v>
      </c>
      <c r="O44" s="83"/>
    </row>
    <row r="45" spans="1:15" ht="30.75" thickBot="1">
      <c r="A45" s="78" t="s">
        <v>128</v>
      </c>
      <c r="B45" s="78" t="s">
        <v>110</v>
      </c>
      <c r="C45" s="80">
        <v>609</v>
      </c>
      <c r="D45" s="83" t="s">
        <v>178</v>
      </c>
      <c r="E45" s="95">
        <v>45288</v>
      </c>
      <c r="F45" s="78" t="s">
        <v>179</v>
      </c>
      <c r="G45" s="78" t="s">
        <v>47</v>
      </c>
      <c r="H45" s="78"/>
      <c r="I45" s="78"/>
      <c r="J45" s="78" t="s">
        <v>19</v>
      </c>
      <c r="K45" s="78" t="s">
        <v>47</v>
      </c>
      <c r="L45" s="91" t="s">
        <v>19</v>
      </c>
      <c r="M45" s="89" t="s">
        <v>19</v>
      </c>
      <c r="N45" s="82" t="s">
        <v>19</v>
      </c>
      <c r="O45" s="83"/>
    </row>
    <row r="46" spans="1:15" ht="30.75" hidden="1" thickBot="1">
      <c r="A46" s="78" t="s">
        <v>128</v>
      </c>
      <c r="B46" s="78" t="s">
        <v>110</v>
      </c>
      <c r="C46" s="80">
        <v>610</v>
      </c>
      <c r="D46" s="86" t="s">
        <v>180</v>
      </c>
      <c r="E46" s="94" t="s">
        <v>126</v>
      </c>
      <c r="F46" s="78"/>
      <c r="G46" s="78" t="s">
        <v>47</v>
      </c>
      <c r="H46" s="78"/>
      <c r="I46" s="78"/>
      <c r="J46" s="78" t="s">
        <v>19</v>
      </c>
      <c r="K46" s="78" t="s">
        <v>47</v>
      </c>
      <c r="L46" s="91"/>
      <c r="M46" s="89"/>
      <c r="N46" s="82"/>
      <c r="O46" s="83"/>
    </row>
    <row r="47" spans="1:15" ht="30.75" hidden="1" thickBot="1">
      <c r="A47" s="78" t="s">
        <v>128</v>
      </c>
      <c r="B47" s="78" t="s">
        <v>110</v>
      </c>
      <c r="C47" s="80">
        <v>611</v>
      </c>
      <c r="D47" s="86" t="s">
        <v>181</v>
      </c>
      <c r="E47" s="94" t="s">
        <v>126</v>
      </c>
      <c r="F47" s="78"/>
      <c r="G47" s="78" t="s">
        <v>47</v>
      </c>
      <c r="H47" s="78"/>
      <c r="I47" s="78"/>
      <c r="J47" s="78" t="s">
        <v>19</v>
      </c>
      <c r="K47" s="78" t="s">
        <v>47</v>
      </c>
      <c r="L47" s="91"/>
      <c r="M47" s="89"/>
      <c r="N47" s="82"/>
      <c r="O47" s="83"/>
    </row>
    <row r="48" spans="1:15" ht="30.75" thickBot="1">
      <c r="A48" s="78" t="s">
        <v>128</v>
      </c>
      <c r="B48" s="78" t="s">
        <v>110</v>
      </c>
      <c r="C48" s="80">
        <v>612</v>
      </c>
      <c r="D48" s="83" t="s">
        <v>182</v>
      </c>
      <c r="E48" s="95">
        <v>45265</v>
      </c>
      <c r="F48" s="78"/>
      <c r="G48" s="78"/>
      <c r="H48" s="78" t="s">
        <v>47</v>
      </c>
      <c r="I48" s="78"/>
      <c r="J48" s="78" t="s">
        <v>19</v>
      </c>
      <c r="K48" s="78" t="s">
        <v>47</v>
      </c>
      <c r="L48" s="91" t="s">
        <v>19</v>
      </c>
      <c r="M48" s="89"/>
      <c r="N48" s="82"/>
      <c r="O48" s="83"/>
    </row>
    <row r="49" spans="1:15">
      <c r="L49">
        <f>COUNTA(L5:L48)</f>
        <v>19</v>
      </c>
      <c r="M49">
        <f t="shared" ref="M49:N49" si="0">COUNTA(M5:M48)</f>
        <v>20</v>
      </c>
      <c r="N49">
        <f t="shared" si="0"/>
        <v>18</v>
      </c>
      <c r="O49">
        <f>COUNTA(O5:O48)</f>
        <v>15</v>
      </c>
    </row>
    <row r="53" spans="1:15">
      <c r="A53" s="106"/>
      <c r="B53" s="106"/>
      <c r="C53" s="106"/>
      <c r="D53" s="106"/>
      <c r="E53" s="96"/>
    </row>
  </sheetData>
  <mergeCells count="1">
    <mergeCell ref="A53:D53"/>
  </mergeCells>
  <phoneticPr fontId="7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7a571d-82dd-4f18-a1fa-8a565efb4e7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6B3FC9A169243BCA8C2632C7B687E" ma:contentTypeVersion="7" ma:contentTypeDescription="Create a new document." ma:contentTypeScope="" ma:versionID="b7f734d90333f415acc05eb0d8044bfd">
  <xsd:schema xmlns:xsd="http://www.w3.org/2001/XMLSchema" xmlns:xs="http://www.w3.org/2001/XMLSchema" xmlns:p="http://schemas.microsoft.com/office/2006/metadata/properties" xmlns:ns3="ab7a571d-82dd-4f18-a1fa-8a565efb4e7c" xmlns:ns4="62955f4e-5466-47cc-b89d-b87092d57bc3" targetNamespace="http://schemas.microsoft.com/office/2006/metadata/properties" ma:root="true" ma:fieldsID="c1caa306d868fdaaab7bec59670904e9" ns3:_="" ns4:_="">
    <xsd:import namespace="ab7a571d-82dd-4f18-a1fa-8a565efb4e7c"/>
    <xsd:import namespace="62955f4e-5466-47cc-b89d-b87092d57bc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7a571d-82dd-4f18-a1fa-8a565efb4e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955f4e-5466-47cc-b89d-b87092d57bc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49F3A-BF6E-46AD-8722-1BB8C5C2AAFC}"/>
</file>

<file path=customXml/itemProps2.xml><?xml version="1.0" encoding="utf-8"?>
<ds:datastoreItem xmlns:ds="http://schemas.openxmlformats.org/officeDocument/2006/customXml" ds:itemID="{2BF2DE01-4685-461D-B95A-1E26C517C885}"/>
</file>

<file path=customXml/itemProps3.xml><?xml version="1.0" encoding="utf-8"?>
<ds:datastoreItem xmlns:ds="http://schemas.openxmlformats.org/officeDocument/2006/customXml" ds:itemID="{6D55843C-89FF-4D67-8301-DC9D1B7B1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António Dias Maia</dc:creator>
  <cp:keywords/>
  <dc:description/>
  <cp:lastModifiedBy/>
  <cp:revision/>
  <dcterms:created xsi:type="dcterms:W3CDTF">2023-10-05T15:56:29Z</dcterms:created>
  <dcterms:modified xsi:type="dcterms:W3CDTF">2024-09-12T12:26:08Z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0x0101009366B3FC9A169243BCA8C2632C7B687E</vt:lpwstr>
  </property>
</Properties>
</file>